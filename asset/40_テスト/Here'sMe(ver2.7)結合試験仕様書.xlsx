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docProps/app.xml" ContentType="application/vnd.openxmlformats-officedocument.extended-properties+xml"/>
  <Override PartName="/xl/calcChain.xml" ContentType="application/vnd.openxmlformats-officedocument.spreadsheetml.calcChain+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1.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y.jin\02_Project\M037 パッケージ開発\01 ヒアーズミー\ver2.7(IP制限)\03_結合試験\"/>
    </mc:Choice>
  </mc:AlternateContent>
  <bookViews>
    <workbookView xWindow="120" yWindow="90" windowWidth="13350" windowHeight="6340" activeTab="3"/>
  </bookViews>
  <sheets>
    <sheet name="進捗" sheetId="14" r:id="rId1"/>
    <sheet name="ヒアーズミー" sheetId="24" r:id="rId2"/>
    <sheet name="管理ツール（IP制限機能）" sheetId="25" r:id="rId3"/>
    <sheet name="管理ツール（ユーザ一括登録）" sheetId="33" r:id="rId4"/>
    <sheet name="アカウント作成ツール" sheetId="34" r:id="rId5"/>
    <sheet name="データ（IP制限機能）" sheetId="35" r:id="rId6"/>
    <sheet name="データ（一括登録）" sheetId="32" r:id="rId7"/>
  </sheets>
  <definedNames>
    <definedName name="_xlnm._FilterDatabase" localSheetId="4" hidden="1">アカウント作成ツール!$B$10:$AB$31</definedName>
    <definedName name="_xlnm._FilterDatabase" localSheetId="1" hidden="1">ヒアーズミー!$B$10:$AB$67</definedName>
    <definedName name="_xlnm._FilterDatabase" localSheetId="2" hidden="1">'管理ツール（IP制限機能）'!$B$10:$U$137</definedName>
    <definedName name="_xlnm._FilterDatabase" localSheetId="3" hidden="1">'管理ツール（ユーザ一括登録）'!$B$10:$U$106</definedName>
  </definedNames>
  <calcPr calcId="162913"/>
</workbook>
</file>

<file path=xl/calcChain.xml><?xml version="1.0" encoding="utf-8"?>
<calcChain xmlns="http://schemas.openxmlformats.org/spreadsheetml/2006/main">
  <c r="B93" i="33" l="1"/>
  <c r="B129" i="32"/>
  <c r="B24" i="33" l="1"/>
  <c r="B27" i="33"/>
  <c r="B132" i="35" l="1"/>
  <c r="B133" i="35" s="1"/>
  <c r="B134" i="35" s="1"/>
  <c r="B135" i="35" s="1"/>
  <c r="B136" i="35" s="1"/>
  <c r="B137" i="35" s="1"/>
  <c r="B138" i="35" s="1"/>
  <c r="B139" i="35" s="1"/>
  <c r="B140" i="35" s="1"/>
  <c r="B141" i="35" s="1"/>
  <c r="B142" i="35" s="1"/>
  <c r="B143" i="35" s="1"/>
  <c r="B144" i="35" s="1"/>
  <c r="B145" i="35" s="1"/>
  <c r="B146" i="35" s="1"/>
  <c r="B147" i="35" s="1"/>
  <c r="B148" i="35" s="1"/>
  <c r="B149" i="35" s="1"/>
  <c r="B150" i="35" s="1"/>
  <c r="V62" i="35"/>
  <c r="V63" i="35" s="1"/>
  <c r="V64" i="35" s="1"/>
  <c r="V65" i="35" s="1"/>
  <c r="V66" i="35" s="1"/>
  <c r="V67" i="35" s="1"/>
  <c r="V68" i="35" s="1"/>
  <c r="V69" i="35" s="1"/>
  <c r="V70" i="35" s="1"/>
  <c r="V71" i="35" s="1"/>
  <c r="V72" i="35" s="1"/>
  <c r="V73" i="35" s="1"/>
  <c r="V74" i="35" s="1"/>
  <c r="V75" i="35" s="1"/>
  <c r="V76" i="35" s="1"/>
  <c r="V77" i="35" s="1"/>
  <c r="V78" i="35" s="1"/>
  <c r="V79" i="35" s="1"/>
  <c r="V61" i="35"/>
  <c r="H61" i="35"/>
  <c r="H62" i="35" s="1"/>
  <c r="H63" i="35" s="1"/>
  <c r="H64" i="35" s="1"/>
  <c r="H65" i="35" s="1"/>
  <c r="H66" i="35" s="1"/>
  <c r="H67" i="35" s="1"/>
  <c r="H68" i="35" s="1"/>
  <c r="H69" i="35" s="1"/>
  <c r="H70" i="35" s="1"/>
  <c r="H71" i="35" s="1"/>
  <c r="H72" i="35" s="1"/>
  <c r="H73" i="35" s="1"/>
  <c r="H74" i="35" s="1"/>
  <c r="H75" i="35" s="1"/>
  <c r="H76" i="35" s="1"/>
  <c r="H77" i="35" s="1"/>
  <c r="H78" i="35" s="1"/>
  <c r="H79" i="35" s="1"/>
  <c r="B29" i="35"/>
  <c r="B30" i="35" s="1"/>
  <c r="B32" i="35" s="1"/>
  <c r="B33" i="35" s="1"/>
  <c r="B34" i="35" s="1"/>
  <c r="B35" i="35" s="1"/>
  <c r="B36" i="35" s="1"/>
  <c r="B37" i="35" s="1"/>
  <c r="B38" i="35" s="1"/>
  <c r="B39" i="35" s="1"/>
  <c r="B40" i="35" s="1"/>
  <c r="B41" i="35" s="1"/>
  <c r="B42" i="35" s="1"/>
  <c r="B43" i="35" s="1"/>
  <c r="B44" i="35" s="1"/>
  <c r="B45" i="35" s="1"/>
  <c r="B46" i="35" s="1"/>
  <c r="B47" i="35" s="1"/>
  <c r="B48" i="35" s="1"/>
  <c r="B49" i="35" s="1"/>
  <c r="B50" i="35" s="1"/>
  <c r="B51" i="35" s="1"/>
  <c r="B52" i="35" s="1"/>
  <c r="B53" i="35" s="1"/>
  <c r="B54" i="35" s="1"/>
  <c r="B55" i="35" s="1"/>
  <c r="B56" i="35" s="1"/>
  <c r="B57" i="35" s="1"/>
  <c r="B60" i="35" s="1"/>
  <c r="B28" i="35"/>
  <c r="B55" i="25" l="1"/>
  <c r="B54" i="25"/>
  <c r="B101" i="25" l="1"/>
  <c r="B137" i="25" l="1"/>
  <c r="B136" i="25"/>
  <c r="B135" i="25"/>
  <c r="B134" i="25"/>
  <c r="B132" i="25" l="1"/>
  <c r="B130" i="25"/>
  <c r="B128" i="25"/>
  <c r="B43" i="24" l="1"/>
  <c r="B42" i="24"/>
  <c r="B41" i="24"/>
  <c r="B34" i="24"/>
  <c r="B33" i="24"/>
  <c r="B32" i="24"/>
  <c r="B105" i="33" l="1"/>
  <c r="B104" i="33"/>
  <c r="B103" i="33"/>
  <c r="B102" i="33"/>
  <c r="B101" i="33"/>
  <c r="B100" i="33"/>
  <c r="B99" i="33"/>
  <c r="B98" i="33"/>
  <c r="B97" i="33"/>
  <c r="B96" i="33"/>
  <c r="B94" i="33"/>
  <c r="B57" i="33" l="1"/>
  <c r="B41" i="32"/>
  <c r="B42" i="32" s="1"/>
  <c r="B43" i="32" s="1"/>
  <c r="B40" i="32"/>
  <c r="B32" i="25"/>
  <c r="B33" i="25"/>
  <c r="B30" i="24"/>
  <c r="B23" i="14" l="1"/>
  <c r="B17" i="14"/>
  <c r="B15" i="34"/>
  <c r="B16" i="34"/>
  <c r="B14" i="34"/>
  <c r="B31" i="34"/>
  <c r="B30" i="34"/>
  <c r="B29" i="34"/>
  <c r="B28" i="34"/>
  <c r="B27" i="34"/>
  <c r="B26" i="34"/>
  <c r="B25" i="34"/>
  <c r="B24" i="34"/>
  <c r="B23" i="34"/>
  <c r="B21" i="34"/>
  <c r="B20" i="34"/>
  <c r="B19" i="34"/>
  <c r="B18" i="34"/>
  <c r="B13" i="34"/>
  <c r="B12" i="34"/>
  <c r="AA6" i="34"/>
  <c r="Z6" i="34"/>
  <c r="X6" i="34"/>
  <c r="W6" i="34"/>
  <c r="U6" i="34"/>
  <c r="T6" i="34"/>
  <c r="R6" i="34"/>
  <c r="Q6" i="34"/>
  <c r="O6" i="34"/>
  <c r="N6" i="34"/>
  <c r="L6" i="34"/>
  <c r="K6" i="34"/>
  <c r="I6" i="34"/>
  <c r="R28" i="14" s="1"/>
  <c r="H6" i="34"/>
  <c r="R25" i="14" s="1"/>
  <c r="F6" i="34"/>
  <c r="J27" i="14" s="1"/>
  <c r="W27" i="14" s="1"/>
  <c r="AA5" i="34"/>
  <c r="Z5" i="34"/>
  <c r="X5" i="34"/>
  <c r="W5" i="34"/>
  <c r="U5" i="34"/>
  <c r="T5" i="34"/>
  <c r="R5" i="34"/>
  <c r="Q5" i="34"/>
  <c r="O5" i="34"/>
  <c r="N5" i="34"/>
  <c r="L5" i="34"/>
  <c r="K5" i="34"/>
  <c r="I5" i="34"/>
  <c r="R27" i="14" s="1"/>
  <c r="H5" i="34"/>
  <c r="R24" i="14" s="1"/>
  <c r="F5" i="34"/>
  <c r="J25" i="14" s="1"/>
  <c r="W25" i="14" s="1"/>
  <c r="AA4" i="34"/>
  <c r="Z4" i="34"/>
  <c r="X4" i="34"/>
  <c r="W4" i="34"/>
  <c r="U4" i="34"/>
  <c r="T4" i="34"/>
  <c r="R4" i="34"/>
  <c r="Q4" i="34"/>
  <c r="O4" i="34"/>
  <c r="N4" i="34"/>
  <c r="L4" i="34"/>
  <c r="K4" i="34"/>
  <c r="I4" i="34"/>
  <c r="R26" i="14" s="1"/>
  <c r="H4" i="34"/>
  <c r="R23" i="14" s="1"/>
  <c r="Y23" i="14" s="1"/>
  <c r="AA23" i="14" s="1"/>
  <c r="F4" i="34"/>
  <c r="J23" i="14" s="1"/>
  <c r="Z2" i="34"/>
  <c r="W2" i="34"/>
  <c r="T2" i="34"/>
  <c r="N2" i="34"/>
  <c r="K2" i="34"/>
  <c r="B39" i="24"/>
  <c r="B38" i="24"/>
  <c r="B94" i="25"/>
  <c r="B93" i="25"/>
  <c r="B50" i="33"/>
  <c r="W23" i="14" l="1"/>
  <c r="W3" i="34"/>
  <c r="N3" i="34"/>
  <c r="T3" i="34"/>
  <c r="Z3" i="34"/>
  <c r="K3" i="34"/>
  <c r="AB3" i="34"/>
  <c r="AB5" i="34"/>
  <c r="AB4" i="34"/>
  <c r="AB2" i="34"/>
  <c r="AB1" i="34"/>
  <c r="AB6" i="34"/>
  <c r="B30" i="33"/>
  <c r="B29" i="33"/>
  <c r="B13" i="25"/>
  <c r="B13" i="33"/>
  <c r="B106" i="33"/>
  <c r="B92" i="33"/>
  <c r="B91" i="33"/>
  <c r="B90" i="33"/>
  <c r="B89" i="33"/>
  <c r="B87" i="33"/>
  <c r="B86" i="33"/>
  <c r="B85" i="33"/>
  <c r="B84" i="33"/>
  <c r="B83" i="33"/>
  <c r="B82" i="33"/>
  <c r="B81" i="33"/>
  <c r="B80" i="33"/>
  <c r="B79" i="33"/>
  <c r="B78" i="33"/>
  <c r="B77" i="33"/>
  <c r="B76" i="33"/>
  <c r="B75" i="33"/>
  <c r="B74" i="33"/>
  <c r="B73" i="33"/>
  <c r="B72" i="33"/>
  <c r="B71" i="33"/>
  <c r="B70" i="33"/>
  <c r="B69" i="33"/>
  <c r="B68" i="33"/>
  <c r="B67" i="33"/>
  <c r="B66" i="33"/>
  <c r="B65" i="33"/>
  <c r="B64" i="33"/>
  <c r="B63" i="33"/>
  <c r="B62" i="33"/>
  <c r="B61" i="33"/>
  <c r="B59" i="33"/>
  <c r="B58" i="33"/>
  <c r="B56" i="33"/>
  <c r="B55" i="33"/>
  <c r="B54" i="33"/>
  <c r="B52" i="33"/>
  <c r="B51" i="33"/>
  <c r="B49" i="33"/>
  <c r="B48" i="33"/>
  <c r="B47" i="33"/>
  <c r="B46" i="33"/>
  <c r="B45" i="33"/>
  <c r="B44" i="33"/>
  <c r="B43" i="33"/>
  <c r="B42" i="33"/>
  <c r="B40" i="33"/>
  <c r="B39" i="33"/>
  <c r="B38" i="33"/>
  <c r="B37" i="33"/>
  <c r="B36" i="33"/>
  <c r="B35" i="33"/>
  <c r="B34" i="33"/>
  <c r="B33" i="33"/>
  <c r="B32" i="33"/>
  <c r="B31" i="33"/>
  <c r="B28" i="33"/>
  <c r="B26" i="33"/>
  <c r="B25" i="33"/>
  <c r="B22" i="33"/>
  <c r="B21" i="33"/>
  <c r="B20" i="33"/>
  <c r="B19" i="33"/>
  <c r="B18" i="33"/>
  <c r="B17" i="33"/>
  <c r="B16" i="33"/>
  <c r="B15" i="33"/>
  <c r="B14" i="33"/>
  <c r="B12" i="33"/>
  <c r="U6" i="33"/>
  <c r="T6" i="33"/>
  <c r="R6" i="33"/>
  <c r="Q6" i="33"/>
  <c r="O6" i="33"/>
  <c r="N6" i="33"/>
  <c r="L6" i="33"/>
  <c r="K6" i="33"/>
  <c r="I6" i="33"/>
  <c r="R22" i="14" s="1"/>
  <c r="H6" i="33"/>
  <c r="R19" i="14" s="1"/>
  <c r="F6" i="33"/>
  <c r="J21" i="14" s="1"/>
  <c r="W21" i="14" s="1"/>
  <c r="U5" i="33"/>
  <c r="T5" i="33"/>
  <c r="R5" i="33"/>
  <c r="Q5" i="33"/>
  <c r="O5" i="33"/>
  <c r="N5" i="33"/>
  <c r="L5" i="33"/>
  <c r="K5" i="33"/>
  <c r="I5" i="33"/>
  <c r="R21" i="14" s="1"/>
  <c r="H5" i="33"/>
  <c r="R18" i="14" s="1"/>
  <c r="F5" i="33"/>
  <c r="J19" i="14" s="1"/>
  <c r="W19" i="14" s="1"/>
  <c r="U4" i="33"/>
  <c r="T4" i="33"/>
  <c r="R4" i="33"/>
  <c r="Q4" i="33"/>
  <c r="O4" i="33"/>
  <c r="N4" i="33"/>
  <c r="L4" i="33"/>
  <c r="K4" i="33"/>
  <c r="I4" i="33"/>
  <c r="R20" i="14" s="1"/>
  <c r="H4" i="33"/>
  <c r="R17" i="14" s="1"/>
  <c r="F4" i="33"/>
  <c r="J17" i="14" s="1"/>
  <c r="T2" i="33"/>
  <c r="N2" i="33"/>
  <c r="K2" i="33"/>
  <c r="B53" i="25"/>
  <c r="B51" i="25"/>
  <c r="B50" i="25"/>
  <c r="B56" i="25"/>
  <c r="B52" i="25"/>
  <c r="B49" i="25"/>
  <c r="B48" i="25"/>
  <c r="B41" i="25"/>
  <c r="B45" i="25"/>
  <c r="B43" i="25"/>
  <c r="B42" i="25"/>
  <c r="B40" i="25"/>
  <c r="B46" i="25"/>
  <c r="B39" i="25"/>
  <c r="B38" i="25"/>
  <c r="B37" i="25"/>
  <c r="B36" i="25"/>
  <c r="B35" i="25"/>
  <c r="B34" i="25"/>
  <c r="B31" i="25"/>
  <c r="B30" i="25"/>
  <c r="B29" i="25"/>
  <c r="B28" i="25"/>
  <c r="B27" i="25"/>
  <c r="B26" i="25"/>
  <c r="B25" i="25"/>
  <c r="B23" i="25"/>
  <c r="B22" i="25"/>
  <c r="B21" i="25"/>
  <c r="B20" i="25"/>
  <c r="B19" i="25"/>
  <c r="B18" i="25"/>
  <c r="B17" i="25"/>
  <c r="B16" i="25"/>
  <c r="B15" i="25"/>
  <c r="B60" i="25"/>
  <c r="B59" i="25"/>
  <c r="B58" i="25"/>
  <c r="B12" i="25"/>
  <c r="B124" i="25"/>
  <c r="B123" i="25"/>
  <c r="B122" i="25"/>
  <c r="B121" i="25"/>
  <c r="B120" i="25"/>
  <c r="B119" i="25"/>
  <c r="B118" i="25"/>
  <c r="B117" i="25"/>
  <c r="B116" i="25"/>
  <c r="B115" i="25"/>
  <c r="B114" i="25"/>
  <c r="B113" i="25"/>
  <c r="B112" i="25"/>
  <c r="B111" i="25"/>
  <c r="B110" i="25"/>
  <c r="B109" i="25"/>
  <c r="B108" i="25"/>
  <c r="B107" i="25"/>
  <c r="B106" i="25"/>
  <c r="B105" i="25"/>
  <c r="B103" i="25"/>
  <c r="B102" i="25"/>
  <c r="B100" i="25"/>
  <c r="B99" i="25"/>
  <c r="B98" i="25"/>
  <c r="B97" i="25"/>
  <c r="B95" i="25"/>
  <c r="B92" i="25"/>
  <c r="B91" i="25"/>
  <c r="B90" i="25"/>
  <c r="B89" i="25"/>
  <c r="B88" i="25"/>
  <c r="B87" i="25"/>
  <c r="B86" i="25"/>
  <c r="B85" i="25"/>
  <c r="B84" i="25"/>
  <c r="B83" i="25"/>
  <c r="B82" i="25"/>
  <c r="B81" i="25"/>
  <c r="B80" i="25"/>
  <c r="B79" i="25"/>
  <c r="B78" i="25"/>
  <c r="B77" i="25"/>
  <c r="B76" i="25"/>
  <c r="B75" i="25"/>
  <c r="B74" i="25"/>
  <c r="B73" i="25"/>
  <c r="B72" i="25"/>
  <c r="B71" i="25"/>
  <c r="B70" i="25"/>
  <c r="B69" i="25"/>
  <c r="B68" i="25"/>
  <c r="B67" i="25"/>
  <c r="B66" i="25"/>
  <c r="B65" i="25"/>
  <c r="B64" i="25"/>
  <c r="B62" i="25"/>
  <c r="B61" i="25"/>
  <c r="B49" i="24"/>
  <c r="B48" i="24"/>
  <c r="B47" i="24"/>
  <c r="B40" i="24"/>
  <c r="B52" i="24"/>
  <c r="B51" i="24"/>
  <c r="B50" i="24"/>
  <c r="B46" i="24"/>
  <c r="B45" i="24"/>
  <c r="B44" i="24"/>
  <c r="B37" i="24"/>
  <c r="B36" i="24"/>
  <c r="B35" i="24"/>
  <c r="B31" i="24"/>
  <c r="W17" i="14" l="1"/>
  <c r="Y17" i="14"/>
  <c r="AA17" i="14" s="1"/>
  <c r="V5" i="33"/>
  <c r="V3" i="33"/>
  <c r="N3" i="33"/>
  <c r="K3" i="33"/>
  <c r="V1" i="33"/>
  <c r="V2" i="33"/>
  <c r="T3" i="33"/>
  <c r="V6" i="33"/>
  <c r="V4" i="33"/>
  <c r="B50" i="32" l="1"/>
  <c r="B51" i="32" s="1"/>
  <c r="B52" i="32" s="1"/>
  <c r="B53" i="32" s="1"/>
  <c r="B54" i="32" s="1"/>
  <c r="B55" i="32" s="1"/>
  <c r="B56" i="32" s="1"/>
  <c r="B57" i="32" s="1"/>
  <c r="B59" i="32" s="1"/>
  <c r="B60" i="32" s="1"/>
  <c r="B61" i="32" s="1"/>
  <c r="B62" i="32" s="1"/>
  <c r="B63" i="32" s="1"/>
  <c r="B64" i="32" s="1"/>
  <c r="B65" i="32" s="1"/>
  <c r="B66" i="32" s="1"/>
  <c r="B67" i="32" s="1"/>
  <c r="B68" i="32" s="1"/>
  <c r="B69" i="32" s="1"/>
  <c r="B70" i="32" s="1"/>
  <c r="B71" i="32" s="1"/>
  <c r="B72" i="32" s="1"/>
  <c r="B75" i="32" s="1"/>
  <c r="B78" i="32" s="1"/>
  <c r="B79" i="32" s="1"/>
  <c r="C84" i="32"/>
  <c r="C85" i="32" s="1"/>
  <c r="C86" i="32" s="1"/>
  <c r="C87" i="32" s="1"/>
  <c r="C88" i="32" s="1"/>
  <c r="C89" i="32" s="1"/>
  <c r="C90" i="32" s="1"/>
  <c r="C91" i="32" s="1"/>
  <c r="C92" i="32" s="1"/>
  <c r="C93" i="32" s="1"/>
  <c r="C94" i="32" s="1"/>
  <c r="C95" i="32" s="1"/>
  <c r="C96" i="32" s="1"/>
  <c r="C97" i="32" s="1"/>
  <c r="C98" i="32" s="1"/>
  <c r="C99" i="32" s="1"/>
  <c r="C100" i="32" s="1"/>
  <c r="C101" i="32" s="1"/>
  <c r="C102" i="32" s="1"/>
  <c r="B12" i="24" l="1"/>
  <c r="B13" i="24"/>
  <c r="B14" i="24"/>
  <c r="B15" i="24"/>
  <c r="B16" i="24"/>
  <c r="B17" i="24"/>
  <c r="B18" i="24"/>
  <c r="B19" i="24"/>
  <c r="B20" i="24"/>
  <c r="B21" i="24"/>
  <c r="B22" i="24"/>
  <c r="B23" i="24"/>
  <c r="B24" i="24"/>
  <c r="B25" i="24"/>
  <c r="B26" i="24"/>
  <c r="B27" i="24"/>
  <c r="B28" i="24"/>
  <c r="B29" i="24"/>
  <c r="B53" i="24"/>
  <c r="W4" i="24" l="1"/>
  <c r="B66" i="24" l="1"/>
  <c r="Z2" i="24" l="1"/>
  <c r="W2" i="24"/>
  <c r="B65" i="24"/>
  <c r="B64" i="24"/>
  <c r="B63" i="24"/>
  <c r="B62" i="24"/>
  <c r="B61" i="24"/>
  <c r="B60" i="24"/>
  <c r="B59" i="24"/>
  <c r="B58" i="24"/>
  <c r="B57" i="24"/>
  <c r="B56" i="24"/>
  <c r="T2" i="24" l="1"/>
  <c r="N2" i="24"/>
  <c r="K2" i="24"/>
  <c r="T2" i="25"/>
  <c r="K2" i="25"/>
  <c r="B11" i="14" l="1"/>
  <c r="B55" i="24" l="1"/>
  <c r="B14" i="25" l="1"/>
  <c r="B133" i="25"/>
  <c r="B129" i="25"/>
  <c r="B126" i="25"/>
  <c r="B125" i="25"/>
  <c r="B47" i="25"/>
  <c r="U6" i="25"/>
  <c r="T6" i="25"/>
  <c r="R6" i="25"/>
  <c r="Q6" i="25"/>
  <c r="O6" i="25"/>
  <c r="N6" i="25"/>
  <c r="L6" i="25"/>
  <c r="K6" i="25"/>
  <c r="I6" i="25"/>
  <c r="R16" i="14" s="1"/>
  <c r="H6" i="25"/>
  <c r="R13" i="14" s="1"/>
  <c r="F6" i="25"/>
  <c r="U5" i="25"/>
  <c r="T5" i="25"/>
  <c r="R5" i="25"/>
  <c r="Q5" i="25"/>
  <c r="O5" i="25"/>
  <c r="N5" i="25"/>
  <c r="L5" i="25"/>
  <c r="K5" i="25"/>
  <c r="I5" i="25"/>
  <c r="R15" i="14" s="1"/>
  <c r="H5" i="25"/>
  <c r="R12" i="14" s="1"/>
  <c r="F5" i="25"/>
  <c r="J13" i="14" s="1"/>
  <c r="U4" i="25"/>
  <c r="T4" i="25"/>
  <c r="R4" i="25"/>
  <c r="Q4" i="25"/>
  <c r="O4" i="25"/>
  <c r="N4" i="25"/>
  <c r="L4" i="25"/>
  <c r="K4" i="25"/>
  <c r="I4" i="25"/>
  <c r="R14" i="14" s="1"/>
  <c r="H4" i="25"/>
  <c r="R11" i="14" s="1"/>
  <c r="F4" i="25"/>
  <c r="J11" i="14" s="1"/>
  <c r="N2" i="25"/>
  <c r="J15" i="14" l="1"/>
  <c r="W15" i="14" s="1"/>
  <c r="W13" i="14"/>
  <c r="N3" i="25"/>
  <c r="W11" i="14"/>
  <c r="K3" i="25"/>
  <c r="T3" i="25"/>
  <c r="V2" i="25"/>
  <c r="V1" i="25"/>
  <c r="V3" i="25"/>
  <c r="V6" i="25"/>
  <c r="V5" i="25"/>
  <c r="V4" i="25"/>
  <c r="Y11" i="14" l="1"/>
  <c r="AA11" i="14" s="1"/>
  <c r="B5" i="14" l="1"/>
  <c r="B67" i="24" l="1"/>
  <c r="AA6" i="24" l="1"/>
  <c r="L5" i="24"/>
  <c r="T5" i="24"/>
  <c r="Q5" i="24"/>
  <c r="O6" i="24"/>
  <c r="Z6" i="24"/>
  <c r="K6" i="24"/>
  <c r="AA5" i="24"/>
  <c r="U6" i="24"/>
  <c r="Z5" i="24"/>
  <c r="T4" i="24"/>
  <c r="R4" i="24"/>
  <c r="R6" i="24"/>
  <c r="N5" i="24"/>
  <c r="W6" i="24"/>
  <c r="L4" i="24"/>
  <c r="Z4" i="24"/>
  <c r="N4" i="24"/>
  <c r="X5" i="24"/>
  <c r="X6" i="24"/>
  <c r="K4" i="24"/>
  <c r="T6" i="24"/>
  <c r="Q6" i="24"/>
  <c r="U4" i="24"/>
  <c r="W5" i="24"/>
  <c r="O5" i="24"/>
  <c r="R5" i="24"/>
  <c r="X4" i="24"/>
  <c r="AA4" i="24"/>
  <c r="U5" i="24"/>
  <c r="L6" i="24"/>
  <c r="Q4" i="24"/>
  <c r="O4" i="24"/>
  <c r="K5" i="24"/>
  <c r="N6" i="24"/>
  <c r="I6" i="24"/>
  <c r="R10" i="14" s="1"/>
  <c r="H5" i="24"/>
  <c r="R6" i="14" s="1"/>
  <c r="F5" i="24"/>
  <c r="J7" i="14" s="1"/>
  <c r="W7" i="14" s="1"/>
  <c r="I5" i="24"/>
  <c r="R9" i="14" s="1"/>
  <c r="H6" i="24"/>
  <c r="R7" i="14" s="1"/>
  <c r="I4" i="24"/>
  <c r="R8" i="14" s="1"/>
  <c r="AH6" i="14" s="1"/>
  <c r="H4" i="24"/>
  <c r="R5" i="14" s="1"/>
  <c r="AH5" i="14" s="1"/>
  <c r="F4" i="24"/>
  <c r="J5" i="14" s="1"/>
  <c r="AH4" i="14" s="1"/>
  <c r="F6" i="24"/>
  <c r="J9" i="14" s="1"/>
  <c r="W9" i="14" s="1"/>
  <c r="AB6" i="24" l="1"/>
  <c r="W3" i="24"/>
  <c r="AB5" i="24"/>
  <c r="AB1" i="24"/>
  <c r="AB3" i="24"/>
  <c r="AB4" i="24"/>
  <c r="AB2" i="24"/>
  <c r="K3" i="24"/>
  <c r="Z3" i="24"/>
  <c r="T3" i="24"/>
  <c r="N3" i="24"/>
  <c r="AK6" i="14" l="1"/>
  <c r="AK8" i="14"/>
  <c r="W5" i="14"/>
  <c r="Y5" i="14"/>
  <c r="AA5" i="14" s="1"/>
</calcChain>
</file>

<file path=xl/comments1.xml><?xml version="1.0" encoding="utf-8"?>
<comments xmlns="http://schemas.openxmlformats.org/spreadsheetml/2006/main">
  <authors>
    <author>神 洋子</author>
  </authors>
  <commentList>
    <comment ref="P9" authorId="0" shapeId="0">
      <text>
        <r>
          <rPr>
            <sz val="11"/>
            <color indexed="81"/>
            <rFont val="MS P ゴシック"/>
            <family val="3"/>
            <charset val="128"/>
          </rPr>
          <t>今後Chroniumが主流になるが、旧版でどこまで動くかを確認</t>
        </r>
      </text>
    </comment>
    <comment ref="I13" authorId="0" shapeId="0">
      <text>
        <r>
          <rPr>
            <sz val="9"/>
            <color indexed="81"/>
            <rFont val="MS P ゴシック"/>
            <family val="3"/>
            <charset val="128"/>
          </rPr>
          <t>バグ表No2</t>
        </r>
      </text>
    </comment>
    <comment ref="I20" authorId="0" shapeId="0">
      <text>
        <r>
          <rPr>
            <sz val="9"/>
            <color indexed="81"/>
            <rFont val="MS P ゴシック"/>
            <family val="3"/>
            <charset val="128"/>
          </rPr>
          <t>バグ表No8</t>
        </r>
      </text>
    </comment>
    <comment ref="I57" authorId="0" shapeId="0">
      <text>
        <r>
          <rPr>
            <sz val="9"/>
            <color indexed="81"/>
            <rFont val="MS P ゴシック"/>
            <family val="3"/>
            <charset val="128"/>
          </rPr>
          <t>ローカル環境にて実施</t>
        </r>
      </text>
    </comment>
  </commentList>
</comments>
</file>

<file path=xl/comments2.xml><?xml version="1.0" encoding="utf-8"?>
<comments xmlns="http://schemas.openxmlformats.org/spreadsheetml/2006/main">
  <authors>
    <author>神 洋子</author>
  </authors>
  <commentList>
    <comment ref="P9" authorId="0" shapeId="0">
      <text>
        <r>
          <rPr>
            <sz val="11"/>
            <color indexed="81"/>
            <rFont val="MS P ゴシック"/>
            <family val="3"/>
            <charset val="128"/>
          </rPr>
          <t>今後Chroniumが主流になるが、旧版でどこまで動くかを確認</t>
        </r>
      </text>
    </comment>
    <comment ref="I61" authorId="0" shapeId="0">
      <text>
        <r>
          <rPr>
            <b/>
            <sz val="9"/>
            <color indexed="81"/>
            <rFont val="MS P ゴシック"/>
            <family val="3"/>
            <charset val="128"/>
          </rPr>
          <t>バグ表No6</t>
        </r>
      </text>
    </comment>
    <comment ref="I65" authorId="0" shapeId="0">
      <text>
        <r>
          <rPr>
            <b/>
            <sz val="9"/>
            <color indexed="81"/>
            <rFont val="MS P ゴシック"/>
            <family val="3"/>
            <charset val="128"/>
          </rPr>
          <t>バグ表No3</t>
        </r>
      </text>
    </comment>
    <comment ref="I77" authorId="0" shapeId="0">
      <text>
        <r>
          <rPr>
            <b/>
            <sz val="9"/>
            <color indexed="81"/>
            <rFont val="MS P ゴシック"/>
            <family val="3"/>
            <charset val="128"/>
          </rPr>
          <t>バグ表No5</t>
        </r>
      </text>
    </comment>
    <comment ref="I81" authorId="0" shapeId="0">
      <text>
        <r>
          <rPr>
            <b/>
            <sz val="9"/>
            <color indexed="81"/>
            <rFont val="MS P ゴシック"/>
            <family val="3"/>
            <charset val="128"/>
          </rPr>
          <t>バグ表No6</t>
        </r>
      </text>
    </comment>
  </commentList>
</comments>
</file>

<file path=xl/comments3.xml><?xml version="1.0" encoding="utf-8"?>
<comments xmlns="http://schemas.openxmlformats.org/spreadsheetml/2006/main">
  <authors>
    <author>神 洋子</author>
  </authors>
  <commentList>
    <comment ref="P9" authorId="0" shapeId="0">
      <text>
        <r>
          <rPr>
            <sz val="11"/>
            <color indexed="81"/>
            <rFont val="MS P ゴシック"/>
            <family val="3"/>
            <charset val="128"/>
          </rPr>
          <t>今後Chroniumが主流になるが、旧版でどこまで動くかを確認</t>
        </r>
      </text>
    </comment>
    <comment ref="I26" authorId="0" shapeId="0">
      <text>
        <r>
          <rPr>
            <sz val="9"/>
            <color indexed="81"/>
            <rFont val="MS P ゴシック"/>
            <family val="3"/>
            <charset val="128"/>
          </rPr>
          <t>バグ表No13</t>
        </r>
      </text>
    </comment>
    <comment ref="I42" authorId="0" shapeId="0">
      <text>
        <r>
          <rPr>
            <sz val="9"/>
            <color indexed="81"/>
            <rFont val="MS P ゴシック"/>
            <family val="3"/>
            <charset val="128"/>
          </rPr>
          <t>バグ表No15</t>
        </r>
      </text>
    </comment>
    <comment ref="I44" authorId="0" shapeId="0">
      <text>
        <r>
          <rPr>
            <sz val="9"/>
            <color indexed="81"/>
            <rFont val="MS P ゴシック"/>
            <family val="3"/>
            <charset val="128"/>
          </rPr>
          <t>バグ表No16</t>
        </r>
      </text>
    </comment>
  </commentList>
</comments>
</file>

<file path=xl/comments4.xml><?xml version="1.0" encoding="utf-8"?>
<comments xmlns="http://schemas.openxmlformats.org/spreadsheetml/2006/main">
  <authors>
    <author>神 洋子</author>
  </authors>
  <commentList>
    <comment ref="P9" authorId="0" shapeId="0">
      <text>
        <r>
          <rPr>
            <sz val="11"/>
            <color indexed="81"/>
            <rFont val="MS P ゴシック"/>
            <family val="3"/>
            <charset val="128"/>
          </rPr>
          <t>今後Chroniumが主流になるが、旧版でどこまで動くかを確認</t>
        </r>
      </text>
    </comment>
    <comment ref="I20" authorId="0" shapeId="0">
      <text>
        <r>
          <rPr>
            <b/>
            <sz val="9"/>
            <color indexed="81"/>
            <rFont val="MS P ゴシック"/>
            <family val="3"/>
            <charset val="128"/>
          </rPr>
          <t>バグ表No14</t>
        </r>
      </text>
    </comment>
  </commentList>
</comments>
</file>

<file path=xl/comments5.xml><?xml version="1.0" encoding="utf-8"?>
<comments xmlns="http://schemas.openxmlformats.org/spreadsheetml/2006/main">
  <authors>
    <author>神 洋子</author>
  </authors>
  <commentList>
    <comment ref="AB7" authorId="0" shapeId="0">
      <text>
        <r>
          <rPr>
            <sz val="9"/>
            <color indexed="81"/>
            <rFont val="MS P ゴシック"/>
            <family val="3"/>
            <charset val="128"/>
          </rPr>
          <t>「ヒアーズミーにアクセスするIPアドレスを制限」のチェックボックス</t>
        </r>
      </text>
    </comment>
    <comment ref="M8" authorId="0" shapeId="0">
      <text>
        <r>
          <rPr>
            <sz val="9"/>
            <color indexed="81"/>
            <rFont val="MS P ゴシック"/>
            <family val="3"/>
            <charset val="128"/>
          </rPr>
          <t>複数の許可IPアドレス情報を以下の形式で保持
{IPアドレス_名称,IPアドレス_名称,…}</t>
        </r>
      </text>
    </comment>
    <comment ref="AR8" authorId="0" shapeId="0">
      <text>
        <r>
          <rPr>
            <sz val="9"/>
            <color indexed="81"/>
            <rFont val="MS P ゴシック"/>
            <family val="3"/>
            <charset val="128"/>
          </rPr>
          <t>IPリストに登録されているデータ数＋空き１</t>
        </r>
      </text>
    </comment>
    <comment ref="C25" authorId="0" shapeId="0">
      <text>
        <r>
          <rPr>
            <sz val="9"/>
            <color indexed="81"/>
            <rFont val="MS P ゴシック"/>
            <family val="3"/>
            <charset val="128"/>
          </rPr>
          <t>「ヒアーズミーにアクセスするIPアドレスを制限」のチェックボックス</t>
        </r>
      </text>
    </comment>
    <comment ref="Q25" authorId="0" shapeId="0">
      <text>
        <r>
          <rPr>
            <sz val="9"/>
            <color indexed="81"/>
            <rFont val="MS P ゴシック"/>
            <family val="3"/>
            <charset val="128"/>
          </rPr>
          <t>「ヒアーズミーにアクセスするIPアドレスを制限」のチェックボックス</t>
        </r>
      </text>
    </comment>
    <comment ref="Q27" authorId="0" shapeId="0">
      <text>
        <r>
          <rPr>
            <sz val="9"/>
            <color indexed="81"/>
            <rFont val="MS P ゴシック"/>
            <family val="3"/>
            <charset val="128"/>
          </rPr>
          <t>OFF→ONに切り替えた時点で、許可するIPリストの入力フォームが入力可能状態になる</t>
        </r>
      </text>
    </comment>
    <comment ref="Q28" authorId="0" shapeId="0">
      <text>
        <r>
          <rPr>
            <sz val="9"/>
            <color indexed="81"/>
            <rFont val="MS P ゴシック"/>
            <family val="3"/>
            <charset val="128"/>
          </rPr>
          <t>ON→OFFに切り替えた時点で、許可するIPリストの入力フォームが入力不可状態になる</t>
        </r>
      </text>
    </comment>
    <comment ref="AB94" authorId="0" shapeId="0">
      <text>
        <r>
          <rPr>
            <sz val="9"/>
            <color indexed="81"/>
            <rFont val="MS P ゴシック"/>
            <family val="3"/>
            <charset val="128"/>
          </rPr>
          <t>「ヒアーズミーにアクセスするIPアドレスを制限」のチェックボックス</t>
        </r>
      </text>
    </comment>
    <comment ref="AO94" authorId="0" shapeId="0">
      <text>
        <r>
          <rPr>
            <sz val="9"/>
            <color indexed="81"/>
            <rFont val="MS P ゴシック"/>
            <family val="3"/>
            <charset val="128"/>
          </rPr>
          <t>「ヒアーズミーにアクセスするIPアドレスを制限」のチェックボックス</t>
        </r>
      </text>
    </comment>
    <comment ref="M95" authorId="0" shapeId="0">
      <text>
        <r>
          <rPr>
            <sz val="9"/>
            <color indexed="81"/>
            <rFont val="MS P ゴシック"/>
            <family val="3"/>
            <charset val="128"/>
          </rPr>
          <t>複数の許可IPアドレス情報を以下の形式で保持
{IPアドレス_名称,IPアドレス_名称,…}</t>
        </r>
      </text>
    </comment>
    <comment ref="BI95" authorId="0" shapeId="0">
      <text>
        <r>
          <rPr>
            <sz val="9"/>
            <color indexed="81"/>
            <rFont val="MS P ゴシック"/>
            <family val="3"/>
            <charset val="128"/>
          </rPr>
          <t>複数の許可IPアドレス情報を以下の形式で保持
{IPアドレス_名称,IPアドレス_名称,…}</t>
        </r>
      </text>
    </comment>
    <comment ref="AG130" authorId="0" shapeId="0">
      <text>
        <r>
          <rPr>
            <sz val="9"/>
            <color indexed="81"/>
            <rFont val="MS P ゴシック"/>
            <family val="3"/>
            <charset val="128"/>
          </rPr>
          <t>複数の許可IPアドレス情報を以下の形式で保持
{IPアドレス_名称,IPアドレス_名称,…}</t>
        </r>
      </text>
    </comment>
  </commentList>
</comments>
</file>

<file path=xl/comments6.xml><?xml version="1.0" encoding="utf-8"?>
<comments xmlns="http://schemas.openxmlformats.org/spreadsheetml/2006/main">
  <authors>
    <author>神 洋子</author>
  </authors>
  <commentList>
    <comment ref="AZ47" authorId="0" shapeId="0">
      <text>
        <r>
          <rPr>
            <sz val="9"/>
            <color indexed="81"/>
            <rFont val="MS P ゴシック"/>
            <family val="3"/>
            <charset val="128"/>
          </rPr>
          <t>「※メッセージ」表を参照</t>
        </r>
      </text>
    </comment>
    <comment ref="AN51" authorId="0" shapeId="0">
      <text>
        <r>
          <rPr>
            <sz val="9"/>
            <color indexed="81"/>
            <rFont val="MS P ゴシック"/>
            <family val="3"/>
            <charset val="128"/>
          </rPr>
          <t>0とみなす</t>
        </r>
      </text>
    </comment>
    <comment ref="AQ51" authorId="0" shapeId="0">
      <text>
        <r>
          <rPr>
            <sz val="9"/>
            <color indexed="81"/>
            <rFont val="MS P ゴシック"/>
            <family val="3"/>
            <charset val="128"/>
          </rPr>
          <t>0とみなす</t>
        </r>
      </text>
    </comment>
    <comment ref="Z53" authorId="0" shapeId="0">
      <text>
        <r>
          <rPr>
            <sz val="9"/>
            <color indexed="81"/>
            <rFont val="MS P ゴシック"/>
            <family val="3"/>
            <charset val="128"/>
          </rPr>
          <t>登録済みの別の拠点の所属と同名にするが、拠点が異なるため別の所属として登録すること</t>
        </r>
      </text>
    </comment>
    <comment ref="C58" authorId="0" shapeId="0">
      <text>
        <r>
          <rPr>
            <sz val="9"/>
            <color indexed="81"/>
            <rFont val="MS P ゴシック"/>
            <family val="3"/>
            <charset val="128"/>
          </rPr>
          <t>１つのcsvファイルの中に同じ社員IDの行が複数</t>
        </r>
      </text>
    </comment>
    <comment ref="B75" authorId="0" shapeId="0">
      <text>
        <r>
          <rPr>
            <sz val="9"/>
            <color indexed="81"/>
            <rFont val="MS P ゴシック"/>
            <family val="3"/>
            <charset val="128"/>
          </rPr>
          <t>正常、エラー、要確認が混在</t>
        </r>
      </text>
    </comment>
    <comment ref="C78" authorId="0" shapeId="0">
      <text>
        <r>
          <rPr>
            <sz val="9"/>
            <color indexed="81"/>
            <rFont val="MS P ゴシック"/>
            <family val="3"/>
            <charset val="128"/>
          </rPr>
          <t>trim確認。
実際のcsvファイルには「」は記述せず、127の前後の半角空白は記述する。</t>
        </r>
      </text>
    </comment>
    <comment ref="F78" authorId="0" shapeId="0">
      <text>
        <r>
          <rPr>
            <sz val="9"/>
            <color indexed="81"/>
            <rFont val="MS P ゴシック"/>
            <family val="3"/>
            <charset val="128"/>
          </rPr>
          <t>エクセルで
「インポート"データ"27」
というデータをcsvで保存するとこのようになる。</t>
        </r>
      </text>
    </comment>
    <comment ref="K78" authorId="0" shapeId="0">
      <text>
        <r>
          <rPr>
            <sz val="9"/>
            <color indexed="81"/>
            <rFont val="MS P ゴシック"/>
            <family val="3"/>
            <charset val="128"/>
          </rPr>
          <t>エクセルで途中で改行を含む
「インポート
データ27」
というデータをcsvで保存するとこのようになる。</t>
        </r>
      </text>
    </comment>
    <comment ref="F79" authorId="0" shapeId="0">
      <text>
        <r>
          <rPr>
            <sz val="9"/>
            <color indexed="81"/>
            <rFont val="MS P ゴシック"/>
            <family val="3"/>
            <charset val="128"/>
          </rPr>
          <t>前の項目と同じ「"」を含むデータをcsvで直接編集した場合は、前後に「"」が入ったりしない。</t>
        </r>
      </text>
    </comment>
    <comment ref="AN114" authorId="0" shapeId="0">
      <text>
        <r>
          <rPr>
            <sz val="9"/>
            <color indexed="81"/>
            <rFont val="MS P ゴシック"/>
            <family val="3"/>
            <charset val="128"/>
          </rPr>
          <t>0とみなす</t>
        </r>
      </text>
    </comment>
    <comment ref="AQ114" authorId="0" shapeId="0">
      <text>
        <r>
          <rPr>
            <sz val="9"/>
            <color indexed="81"/>
            <rFont val="MS P ゴシック"/>
            <family val="3"/>
            <charset val="128"/>
          </rPr>
          <t>0とみなす</t>
        </r>
      </text>
    </comment>
    <comment ref="Z116" authorId="0" shapeId="0">
      <text>
        <r>
          <rPr>
            <sz val="9"/>
            <color indexed="81"/>
            <rFont val="MS P ゴシック"/>
            <family val="3"/>
            <charset val="128"/>
          </rPr>
          <t>登録済みの別の拠点の所属と同名にするが、拠点が異なるため別の所属として登録すること</t>
        </r>
      </text>
    </comment>
    <comment ref="BS119" authorId="0" shapeId="0">
      <text>
        <r>
          <rPr>
            <sz val="9"/>
            <color indexed="81"/>
            <rFont val="MS P ゴシック"/>
            <family val="3"/>
            <charset val="128"/>
          </rPr>
          <t>新規の所属を重複で登録しないこと</t>
        </r>
      </text>
    </comment>
    <comment ref="Z120" authorId="0" shapeId="0">
      <text>
        <r>
          <rPr>
            <sz val="9"/>
            <color indexed="81"/>
            <rFont val="MS P ゴシック"/>
            <family val="3"/>
            <charset val="128"/>
          </rPr>
          <t>登録済みの別の拠点の所属と同名にするが、拠点が異なるため別の所属として登録すること</t>
        </r>
      </text>
    </comment>
    <comment ref="BO120" authorId="0" shapeId="0">
      <text>
        <r>
          <rPr>
            <sz val="9"/>
            <color indexed="81"/>
            <rFont val="MS P ゴシック"/>
            <family val="3"/>
            <charset val="128"/>
          </rPr>
          <t>新規の拠点を重複で登録しないこと</t>
        </r>
      </text>
    </comment>
    <comment ref="BS120" authorId="0" shapeId="0">
      <text>
        <r>
          <rPr>
            <sz val="9"/>
            <color indexed="81"/>
            <rFont val="MS P ゴシック"/>
            <family val="3"/>
            <charset val="128"/>
          </rPr>
          <t>新規の所属を重複で登録しないこと</t>
        </r>
      </text>
    </comment>
    <comment ref="BK121" authorId="0" shapeId="0">
      <text>
        <r>
          <rPr>
            <sz val="9"/>
            <color indexed="81"/>
            <rFont val="MS P ゴシック"/>
            <family val="3"/>
            <charset val="128"/>
          </rPr>
          <t>新規の役職を重複で登録しないこと</t>
        </r>
      </text>
    </comment>
    <comment ref="Z124" authorId="0" shapeId="0">
      <text>
        <r>
          <rPr>
            <sz val="9"/>
            <color indexed="81"/>
            <rFont val="MS P ゴシック"/>
            <family val="3"/>
            <charset val="128"/>
          </rPr>
          <t>登録済みの別の拠点の所属と同名にするが、拠点が異なるため別の所属として登録すること</t>
        </r>
      </text>
    </comment>
    <comment ref="K144" authorId="0" shapeId="0">
      <text>
        <r>
          <rPr>
            <sz val="9"/>
            <color indexed="81"/>
            <rFont val="MS P ゴシック"/>
            <family val="3"/>
            <charset val="128"/>
          </rPr>
          <t>登録済みのデータを更新</t>
        </r>
      </text>
    </comment>
    <comment ref="S144" authorId="0" shapeId="0">
      <text>
        <r>
          <rPr>
            <sz val="9"/>
            <color indexed="81"/>
            <rFont val="MS P ゴシック"/>
            <family val="3"/>
            <charset val="128"/>
          </rPr>
          <t>変更なし</t>
        </r>
      </text>
    </comment>
    <comment ref="K163" authorId="0" shapeId="0">
      <text>
        <r>
          <rPr>
            <sz val="9"/>
            <color indexed="81"/>
            <rFont val="MS P ゴシック"/>
            <family val="3"/>
            <charset val="128"/>
          </rPr>
          <t>登録済みのデータを更新</t>
        </r>
      </text>
    </comment>
  </commentList>
</comments>
</file>

<file path=xl/sharedStrings.xml><?xml version="1.0" encoding="utf-8"?>
<sst xmlns="http://schemas.openxmlformats.org/spreadsheetml/2006/main" count="3734" uniqueCount="1116">
  <si>
    <t>試験手順</t>
    <rPh sb="0" eb="2">
      <t>シケン</t>
    </rPh>
    <rPh sb="2" eb="4">
      <t>テジュン</t>
    </rPh>
    <phoneticPr fontId="2"/>
  </si>
  <si>
    <t>確認内容</t>
    <rPh sb="0" eb="2">
      <t>カクニン</t>
    </rPh>
    <rPh sb="2" eb="4">
      <t>ナイヨウ</t>
    </rPh>
    <phoneticPr fontId="2"/>
  </si>
  <si>
    <t>No</t>
    <phoneticPr fontId="2"/>
  </si>
  <si>
    <t>優先度</t>
    <rPh sb="0" eb="3">
      <t>ユウセンド</t>
    </rPh>
    <phoneticPr fontId="2"/>
  </si>
  <si>
    <t>試験項目</t>
    <rPh sb="0" eb="2">
      <t>シケン</t>
    </rPh>
    <rPh sb="2" eb="4">
      <t>コウモク</t>
    </rPh>
    <phoneticPr fontId="2"/>
  </si>
  <si>
    <t>実施者</t>
    <rPh sb="0" eb="3">
      <t>ジッシシャ</t>
    </rPh>
    <phoneticPr fontId="2"/>
  </si>
  <si>
    <t>結果</t>
    <rPh sb="0" eb="2">
      <t>ケッカ</t>
    </rPh>
    <phoneticPr fontId="2"/>
  </si>
  <si>
    <t>日付</t>
    <rPh sb="0" eb="2">
      <t>ヒヅケ</t>
    </rPh>
    <phoneticPr fontId="2"/>
  </si>
  <si>
    <t>作成者</t>
    <rPh sb="0" eb="3">
      <t>サクセイシャ</t>
    </rPh>
    <phoneticPr fontId="2"/>
  </si>
  <si>
    <t>作成日</t>
    <rPh sb="0" eb="2">
      <t>サクセイ</t>
    </rPh>
    <rPh sb="2" eb="3">
      <t>ビ</t>
    </rPh>
    <phoneticPr fontId="2"/>
  </si>
  <si>
    <t>システム名</t>
    <rPh sb="4" eb="5">
      <t>メイ</t>
    </rPh>
    <phoneticPr fontId="2"/>
  </si>
  <si>
    <t>試験項目名</t>
    <rPh sb="0" eb="2">
      <t>シケン</t>
    </rPh>
    <rPh sb="2" eb="4">
      <t>コウモク</t>
    </rPh>
    <rPh sb="4" eb="5">
      <t>メイ</t>
    </rPh>
    <phoneticPr fontId="2"/>
  </si>
  <si>
    <t>試験工程</t>
    <rPh sb="0" eb="2">
      <t>シケン</t>
    </rPh>
    <rPh sb="2" eb="4">
      <t>コウテイ</t>
    </rPh>
    <phoneticPr fontId="2"/>
  </si>
  <si>
    <t>試験条件</t>
    <rPh sb="0" eb="2">
      <t>シケン</t>
    </rPh>
    <rPh sb="2" eb="4">
      <t>ジョウケン</t>
    </rPh>
    <phoneticPr fontId="2"/>
  </si>
  <si>
    <t>高</t>
    <rPh sb="0" eb="1">
      <t>コウ</t>
    </rPh>
    <phoneticPr fontId="2"/>
  </si>
  <si>
    <t>中</t>
    <rPh sb="0" eb="1">
      <t>チュウ</t>
    </rPh>
    <phoneticPr fontId="2"/>
  </si>
  <si>
    <t>低</t>
    <rPh sb="0" eb="1">
      <t>テイ</t>
    </rPh>
    <phoneticPr fontId="2"/>
  </si>
  <si>
    <t>結合試験</t>
    <rPh sb="0" eb="2">
      <t>ケツゴウ</t>
    </rPh>
    <rPh sb="2" eb="4">
      <t>シケン</t>
    </rPh>
    <phoneticPr fontId="2"/>
  </si>
  <si>
    <t>神　洋子</t>
    <rPh sb="0" eb="1">
      <t>ジン</t>
    </rPh>
    <rPh sb="2" eb="4">
      <t>ヨウコ</t>
    </rPh>
    <phoneticPr fontId="2"/>
  </si>
  <si>
    <t>　■Here's Meログイン画面(結合試験環境)</t>
    <rPh sb="15" eb="17">
      <t>ガメン</t>
    </rPh>
    <rPh sb="18" eb="20">
      <t>ケツゴウ</t>
    </rPh>
    <rPh sb="20" eb="22">
      <t>シケン</t>
    </rPh>
    <rPh sb="22" eb="24">
      <t>カンキョウ</t>
    </rPh>
    <phoneticPr fontId="2"/>
  </si>
  <si>
    <t>　　https://heresme.micros-america.com/</t>
    <phoneticPr fontId="2"/>
  </si>
  <si>
    <t>Chrome</t>
    <phoneticPr fontId="4"/>
  </si>
  <si>
    <t>Firefox</t>
    <phoneticPr fontId="4"/>
  </si>
  <si>
    <t>シート名</t>
    <rPh sb="3" eb="4">
      <t>メイ</t>
    </rPh>
    <phoneticPr fontId="6"/>
  </si>
  <si>
    <t>試験件数</t>
    <rPh sb="0" eb="2">
      <t>シケン</t>
    </rPh>
    <rPh sb="2" eb="4">
      <t>ケンスウ</t>
    </rPh>
    <phoneticPr fontId="6"/>
  </si>
  <si>
    <t>進捗率</t>
    <rPh sb="0" eb="2">
      <t>シンチョク</t>
    </rPh>
    <rPh sb="2" eb="3">
      <t>リツ</t>
    </rPh>
    <phoneticPr fontId="6"/>
  </si>
  <si>
    <t>状態</t>
    <rPh sb="0" eb="2">
      <t>ジョウタイ</t>
    </rPh>
    <phoneticPr fontId="6"/>
  </si>
  <si>
    <t>OK</t>
    <phoneticPr fontId="6"/>
  </si>
  <si>
    <t>NG</t>
    <phoneticPr fontId="6"/>
  </si>
  <si>
    <t>高</t>
    <rPh sb="0" eb="1">
      <t>コウ</t>
    </rPh>
    <phoneticPr fontId="5"/>
  </si>
  <si>
    <t>中</t>
    <rPh sb="0" eb="1">
      <t>チュウ</t>
    </rPh>
    <phoneticPr fontId="5"/>
  </si>
  <si>
    <t>低</t>
    <rPh sb="0" eb="1">
      <t>テイ</t>
    </rPh>
    <phoneticPr fontId="5"/>
  </si>
  <si>
    <t>IE→★　、　Edge(chronium)→★</t>
    <phoneticPr fontId="2"/>
  </si>
  <si>
    <t>　■試験実施バージョン</t>
    <rPh sb="2" eb="4">
      <t>シケン</t>
    </rPh>
    <rPh sb="4" eb="6">
      <t>ジッシ</t>
    </rPh>
    <phoneticPr fontId="2"/>
  </si>
  <si>
    <t>件</t>
    <rPh sb="0" eb="1">
      <t>ケン</t>
    </rPh>
    <phoneticPr fontId="5"/>
  </si>
  <si>
    <t>全</t>
    <rPh sb="0" eb="1">
      <t>ゼン</t>
    </rPh>
    <phoneticPr fontId="5"/>
  </si>
  <si>
    <t>実施済み</t>
    <rPh sb="0" eb="2">
      <t>ジッシ</t>
    </rPh>
    <rPh sb="2" eb="3">
      <t>ズ</t>
    </rPh>
    <phoneticPr fontId="5"/>
  </si>
  <si>
    <t>OK</t>
    <phoneticPr fontId="5"/>
  </si>
  <si>
    <t>NG</t>
    <phoneticPr fontId="5"/>
  </si>
  <si>
    <t>合計</t>
    <rPh sb="0" eb="2">
      <t>ゴウケイ</t>
    </rPh>
    <phoneticPr fontId="5"/>
  </si>
  <si>
    <t>進捗率</t>
    <rPh sb="0" eb="2">
      <t>シンチョク</t>
    </rPh>
    <rPh sb="2" eb="3">
      <t>リツ</t>
    </rPh>
    <phoneticPr fontId="5"/>
  </si>
  <si>
    <t>edge(Chronium)</t>
    <phoneticPr fontId="4"/>
  </si>
  <si>
    <t>対象外数</t>
    <rPh sb="0" eb="2">
      <t>タイショウ</t>
    </rPh>
    <rPh sb="2" eb="3">
      <t>ガイ</t>
    </rPh>
    <rPh sb="3" eb="4">
      <t>スウ</t>
    </rPh>
    <phoneticPr fontId="2"/>
  </si>
  <si>
    <t>実施数</t>
    <rPh sb="0" eb="2">
      <t>ジッシ</t>
    </rPh>
    <rPh sb="2" eb="3">
      <t>スウ</t>
    </rPh>
    <phoneticPr fontId="2"/>
  </si>
  <si>
    <t>Webブラウザ</t>
    <phoneticPr fontId="2"/>
  </si>
  <si>
    <t>Chrome→★　、　Firefox→★</t>
    <phoneticPr fontId="2"/>
  </si>
  <si>
    <t>edge(旧)</t>
    <rPh sb="5" eb="6">
      <t>キュウ</t>
    </rPh>
    <phoneticPr fontId="4"/>
  </si>
  <si>
    <t>IE</t>
    <phoneticPr fontId="4"/>
  </si>
  <si>
    <t>ヒアーズミー</t>
    <phoneticPr fontId="7"/>
  </si>
  <si>
    <t>拠点</t>
    <rPh sb="0" eb="2">
      <t>キョテン</t>
    </rPh>
    <phoneticPr fontId="11"/>
  </si>
  <si>
    <t>所属</t>
    <rPh sb="0" eb="2">
      <t>ショゾク</t>
    </rPh>
    <phoneticPr fontId="11"/>
  </si>
  <si>
    <t>役職</t>
    <rPh sb="0" eb="2">
      <t>ヤクショク</t>
    </rPh>
    <phoneticPr fontId="11"/>
  </si>
  <si>
    <t>スマホアプリ</t>
    <phoneticPr fontId="7"/>
  </si>
  <si>
    <t>Android</t>
    <phoneticPr fontId="4"/>
  </si>
  <si>
    <t>iOS</t>
    <phoneticPr fontId="4"/>
  </si>
  <si>
    <t>管理ツール</t>
    <rPh sb="0" eb="2">
      <t>カンリ</t>
    </rPh>
    <phoneticPr fontId="7"/>
  </si>
  <si>
    <t>No</t>
    <phoneticPr fontId="11"/>
  </si>
  <si>
    <t>リクエスト元IPアドレス</t>
    <rPh sb="5" eb="6">
      <t>モト</t>
    </rPh>
    <phoneticPr fontId="11"/>
  </si>
  <si>
    <t>14.9.148.97</t>
    <phoneticPr fontId="11"/>
  </si>
  <si>
    <t>管理ツール「セキュリティ」画面</t>
    <rPh sb="0" eb="2">
      <t>カンリ</t>
    </rPh>
    <rPh sb="13" eb="15">
      <t>ガメン</t>
    </rPh>
    <phoneticPr fontId="11"/>
  </si>
  <si>
    <t>ヒアーズミーにアクセス
するIPアドレスを制限
(チェックボックス)</t>
    <rPh sb="21" eb="23">
      <t>セイゲン</t>
    </rPh>
    <phoneticPr fontId="11"/>
  </si>
  <si>
    <t>DB「iw_ipmanagetbl」（IP管理テーブル）</t>
    <rPh sb="21" eb="23">
      <t>カンリ</t>
    </rPh>
    <phoneticPr fontId="11"/>
  </si>
  <si>
    <t>企業ID</t>
    <rPh sb="0" eb="2">
      <t>キギョウ</t>
    </rPh>
    <phoneticPr fontId="11"/>
  </si>
  <si>
    <t>company_id</t>
    <phoneticPr fontId="11"/>
  </si>
  <si>
    <t>IP制限有効設定</t>
    <rPh sb="2" eb="8">
      <t>セイゲンユウコウセッテイ</t>
    </rPh>
    <phoneticPr fontId="11"/>
  </si>
  <si>
    <t>enable_flg</t>
    <phoneticPr fontId="11"/>
  </si>
  <si>
    <t>IPリスト</t>
    <phoneticPr fontId="11"/>
  </si>
  <si>
    <t>ip_list</t>
    <phoneticPr fontId="11"/>
  </si>
  <si>
    <t>ログインユーザが
所属する企業</t>
    <rPh sb="9" eb="11">
      <t>ショゾク</t>
    </rPh>
    <rPh sb="13" eb="15">
      <t>キギョウ</t>
    </rPh>
    <phoneticPr fontId="11"/>
  </si>
  <si>
    <t>0（制限しない）</t>
    <rPh sb="2" eb="4">
      <t>セイゲン</t>
    </rPh>
    <phoneticPr fontId="11"/>
  </si>
  <si>
    <t>{}</t>
    <phoneticPr fontId="11"/>
  </si>
  <si>
    <t>許可するIPアドレス</t>
    <rPh sb="0" eb="2">
      <t>キョカ</t>
    </rPh>
    <phoneticPr fontId="11"/>
  </si>
  <si>
    <t>名称</t>
    <rPh sb="0" eb="2">
      <t>メイショウ</t>
    </rPh>
    <phoneticPr fontId="11"/>
  </si>
  <si>
    <t>IPアドレス</t>
    <phoneticPr fontId="11"/>
  </si>
  <si>
    <t>チェックOFF</t>
    <phoneticPr fontId="11"/>
  </si>
  <si>
    <t>リストの行数</t>
    <rPh sb="4" eb="6">
      <t>ギョウスウ</t>
    </rPh>
    <phoneticPr fontId="11"/>
  </si>
  <si>
    <t>(空)</t>
    <rPh sb="1" eb="2">
      <t>カラ</t>
    </rPh>
    <phoneticPr fontId="11"/>
  </si>
  <si>
    <t>1（制限する）</t>
    <rPh sb="2" eb="4">
      <t>セイゲン</t>
    </rPh>
    <phoneticPr fontId="11"/>
  </si>
  <si>
    <t>チェックON</t>
    <phoneticPr fontId="11"/>
  </si>
  <si>
    <t>{14.9.148.97_テストIP}</t>
    <phoneticPr fontId="11"/>
  </si>
  <si>
    <t>テストIP</t>
    <phoneticPr fontId="11"/>
  </si>
  <si>
    <t>14.9.148.97</t>
    <phoneticPr fontId="11"/>
  </si>
  <si>
    <t>北海道支社</t>
    <rPh sb="0" eb="5">
      <t>ホッカイドウシシャ</t>
    </rPh>
    <phoneticPr fontId="11"/>
  </si>
  <si>
    <t>IP設定可能数</t>
    <rPh sb="2" eb="7">
      <t>セッテイカノウスウ</t>
    </rPh>
    <phoneticPr fontId="11"/>
  </si>
  <si>
    <t>ip_max_num</t>
    <phoneticPr fontId="11"/>
  </si>
  <si>
    <t>192.168.100.1</t>
    <phoneticPr fontId="11"/>
  </si>
  <si>
    <t>IP1</t>
    <phoneticPr fontId="11"/>
  </si>
  <si>
    <t>IP2</t>
    <phoneticPr fontId="11"/>
  </si>
  <si>
    <t>192.168.100.2</t>
    <phoneticPr fontId="11"/>
  </si>
  <si>
    <t>…</t>
    <phoneticPr fontId="11"/>
  </si>
  <si>
    <t>…</t>
    <phoneticPr fontId="11"/>
  </si>
  <si>
    <t>IP19</t>
    <phoneticPr fontId="11"/>
  </si>
  <si>
    <t>192.168.100.19</t>
    <phoneticPr fontId="11"/>
  </si>
  <si>
    <t>IP20</t>
    <phoneticPr fontId="11"/>
  </si>
  <si>
    <t>192.168.100.20</t>
    <phoneticPr fontId="11"/>
  </si>
  <si>
    <t>(許可IP情報を20個保持)</t>
    <rPh sb="1" eb="3">
      <t>キョカ</t>
    </rPh>
    <rPh sb="5" eb="7">
      <t>ジョウホウ</t>
    </rPh>
    <rPh sb="10" eb="11">
      <t>コ</t>
    </rPh>
    <rPh sb="11" eb="13">
      <t>ホジ</t>
    </rPh>
    <phoneticPr fontId="11"/>
  </si>
  <si>
    <t>ログインユーザが
所属する企業</t>
    <phoneticPr fontId="11"/>
  </si>
  <si>
    <t>※空き行なし</t>
    <rPh sb="1" eb="2">
      <t>ア</t>
    </rPh>
    <rPh sb="3" eb="4">
      <t>ギョウ</t>
    </rPh>
    <phoneticPr fontId="11"/>
  </si>
  <si>
    <t>チェックON</t>
    <phoneticPr fontId="11"/>
  </si>
  <si>
    <t>192.168.10.1</t>
    <phoneticPr fontId="11"/>
  </si>
  <si>
    <t>本社IPアドレス</t>
    <rPh sb="0" eb="2">
      <t>ホンシャ</t>
    </rPh>
    <phoneticPr fontId="11"/>
  </si>
  <si>
    <t>{}</t>
    <phoneticPr fontId="11"/>
  </si>
  <si>
    <t>管理ツール「セキュリティ」画面</t>
    <phoneticPr fontId="11"/>
  </si>
  <si>
    <t>更新前</t>
    <rPh sb="0" eb="3">
      <t>コウシンマエ</t>
    </rPh>
    <phoneticPr fontId="11"/>
  </si>
  <si>
    <t>更新操作</t>
    <rPh sb="0" eb="4">
      <t>コウシンソウサ</t>
    </rPh>
    <phoneticPr fontId="11"/>
  </si>
  <si>
    <t>更新後</t>
    <rPh sb="0" eb="3">
      <t>コウシンゴ</t>
    </rPh>
    <phoneticPr fontId="11"/>
  </si>
  <si>
    <t>【2】入力チェック</t>
    <rPh sb="3" eb="5">
      <t>ニュウリョク</t>
    </rPh>
    <phoneticPr fontId="11"/>
  </si>
  <si>
    <t>【3】更新</t>
    <rPh sb="3" eb="5">
      <t>コウシン</t>
    </rPh>
    <phoneticPr fontId="11"/>
  </si>
  <si>
    <t>実施前</t>
    <rPh sb="0" eb="3">
      <t>ジッシマエ</t>
    </rPh>
    <phoneticPr fontId="11"/>
  </si>
  <si>
    <t>入力値</t>
    <rPh sb="0" eb="3">
      <t>ニュウリョクチ</t>
    </rPh>
    <phoneticPr fontId="11"/>
  </si>
  <si>
    <t>保存確認ダイアログを表示</t>
    <rPh sb="0" eb="4">
      <t>ホゾンカクニン</t>
    </rPh>
    <rPh sb="10" eb="12">
      <t>ヒョウジ</t>
    </rPh>
    <phoneticPr fontId="11"/>
  </si>
  <si>
    <t>「サーバ保存」ボタンクリック後</t>
    <rPh sb="4" eb="6">
      <t>ホゾン</t>
    </rPh>
    <rPh sb="14" eb="15">
      <t>ゴ</t>
    </rPh>
    <phoneticPr fontId="11"/>
  </si>
  <si>
    <t>192.168.10.2</t>
  </si>
  <si>
    <t>(×ボタンでクリア)</t>
    <phoneticPr fontId="11"/>
  </si>
  <si>
    <t>(任意)</t>
    <rPh sb="1" eb="3">
      <t>ニンイ</t>
    </rPh>
    <phoneticPr fontId="11"/>
  </si>
  <si>
    <t>チェックON</t>
    <phoneticPr fontId="11"/>
  </si>
  <si>
    <t>チェックOFF</t>
    <phoneticPr fontId="11"/>
  </si>
  <si>
    <t>(入力あり)</t>
    <rPh sb="1" eb="3">
      <t>ニュウリョク</t>
    </rPh>
    <phoneticPr fontId="11"/>
  </si>
  <si>
    <r>
      <t xml:space="preserve">エラーメッセージを表示
</t>
    </r>
    <r>
      <rPr>
        <sz val="9"/>
        <color theme="1"/>
        <rFont val="ＭＳ Ｐゴシック"/>
        <family val="3"/>
        <charset val="128"/>
        <scheme val="minor"/>
      </rPr>
      <t>（IPアドレス未入力）</t>
    </r>
    <rPh sb="9" eb="11">
      <t>ヒョウジ</t>
    </rPh>
    <rPh sb="19" eb="20">
      <t>ミ</t>
    </rPh>
    <rPh sb="20" eb="22">
      <t>ニュウリョク</t>
    </rPh>
    <phoneticPr fontId="11"/>
  </si>
  <si>
    <r>
      <t xml:space="preserve">エラーメッセージを表示
</t>
    </r>
    <r>
      <rPr>
        <sz val="9"/>
        <color theme="1"/>
        <rFont val="ＭＳ Ｐゴシック"/>
        <family val="3"/>
        <charset val="128"/>
        <scheme val="minor"/>
      </rPr>
      <t>（IPアドレス形式エラー）</t>
    </r>
    <rPh sb="9" eb="11">
      <t>ヒョウジ</t>
    </rPh>
    <rPh sb="19" eb="21">
      <t>ケイシキ</t>
    </rPh>
    <phoneticPr fontId="11"/>
  </si>
  <si>
    <r>
      <t xml:space="preserve">*.*.*.*
</t>
    </r>
    <r>
      <rPr>
        <b/>
        <sz val="9"/>
        <color rgb="FFFF0000"/>
        <rFont val="ＭＳ Ｐゴシック"/>
        <family val="3"/>
        <charset val="128"/>
        <scheme val="minor"/>
      </rPr>
      <t>(先頭が数字以外)</t>
    </r>
    <rPh sb="9" eb="11">
      <t>セントウ</t>
    </rPh>
    <rPh sb="12" eb="16">
      <t>スウジイガイ</t>
    </rPh>
    <phoneticPr fontId="11"/>
  </si>
  <si>
    <t>14.9.148.97</t>
    <phoneticPr fontId="11"/>
  </si>
  <si>
    <t>14.9.148.98</t>
    <phoneticPr fontId="11"/>
  </si>
  <si>
    <t>14.9.148.98</t>
    <phoneticPr fontId="11"/>
  </si>
  <si>
    <t>14.9.*.*</t>
    <phoneticPr fontId="11"/>
  </si>
  <si>
    <t>14.*.*.*</t>
    <phoneticPr fontId="11"/>
  </si>
  <si>
    <r>
      <t xml:space="preserve">14.9.148.
</t>
    </r>
    <r>
      <rPr>
        <b/>
        <sz val="9"/>
        <color rgb="FFFF0000"/>
        <rFont val="ＭＳ Ｐゴシック"/>
        <family val="3"/>
        <charset val="128"/>
        <scheme val="minor"/>
      </rPr>
      <t>(最後に「.」がある）</t>
    </r>
    <rPh sb="11" eb="13">
      <t>サイゴ</t>
    </rPh>
    <phoneticPr fontId="11"/>
  </si>
  <si>
    <r>
      <t xml:space="preserve">14.9.148.98.0
</t>
    </r>
    <r>
      <rPr>
        <b/>
        <sz val="9"/>
        <color rgb="FFFF0000"/>
        <rFont val="ＭＳ Ｐゴシック"/>
        <family val="3"/>
        <charset val="128"/>
        <scheme val="minor"/>
      </rPr>
      <t>(「.」数不正)</t>
    </r>
    <rPh sb="18" eb="21">
      <t>スウフセイ</t>
    </rPh>
    <phoneticPr fontId="11"/>
  </si>
  <si>
    <r>
      <t xml:space="preserve">14.9.148.*1
</t>
    </r>
    <r>
      <rPr>
        <b/>
        <sz val="9"/>
        <color rgb="FFFF0000"/>
        <rFont val="ＭＳ Ｐゴシック"/>
        <family val="3"/>
        <charset val="128"/>
        <scheme val="minor"/>
      </rPr>
      <t>(*と数字が混在)</t>
    </r>
    <rPh sb="15" eb="17">
      <t>スウジ</t>
    </rPh>
    <rPh sb="18" eb="20">
      <t>コンザイ</t>
    </rPh>
    <phoneticPr fontId="11"/>
  </si>
  <si>
    <r>
      <t xml:space="preserve">14.9.148.0/24/1
</t>
    </r>
    <r>
      <rPr>
        <b/>
        <sz val="9"/>
        <color rgb="FFFF0000"/>
        <rFont val="ＭＳ Ｐゴシック"/>
        <family val="3"/>
        <charset val="128"/>
        <scheme val="minor"/>
      </rPr>
      <t>(/が複数)</t>
    </r>
    <rPh sb="19" eb="21">
      <t>フクスウ</t>
    </rPh>
    <phoneticPr fontId="11"/>
  </si>
  <si>
    <r>
      <t xml:space="preserve">14.9.148.A/24
</t>
    </r>
    <r>
      <rPr>
        <b/>
        <sz val="9"/>
        <color rgb="FFFF0000"/>
        <rFont val="ＭＳ Ｐゴシック"/>
        <family val="3"/>
        <charset val="128"/>
        <scheme val="minor"/>
      </rPr>
      <t>(/の前に数字以外)</t>
    </r>
    <rPh sb="17" eb="18">
      <t>マエ</t>
    </rPh>
    <rPh sb="19" eb="23">
      <t>スウジイガイ</t>
    </rPh>
    <phoneticPr fontId="11"/>
  </si>
  <si>
    <r>
      <t xml:space="preserve">14.9.148.0/A
</t>
    </r>
    <r>
      <rPr>
        <b/>
        <sz val="9"/>
        <color rgb="FFFF0000"/>
        <rFont val="ＭＳ Ｐゴシック"/>
        <family val="3"/>
        <charset val="128"/>
        <scheme val="minor"/>
      </rPr>
      <t>(/の後に数字以外)</t>
    </r>
    <rPh sb="16" eb="17">
      <t>アト</t>
    </rPh>
    <rPh sb="18" eb="22">
      <t>スウジイガイ</t>
    </rPh>
    <phoneticPr fontId="11"/>
  </si>
  <si>
    <t>正常とエラーが混在</t>
    <rPh sb="0" eb="2">
      <t>セイジョウ</t>
    </rPh>
    <rPh sb="7" eb="9">
      <t>コンザイ</t>
    </rPh>
    <phoneticPr fontId="11"/>
  </si>
  <si>
    <r>
      <rPr>
        <b/>
        <sz val="11"/>
        <color rgb="FFFF0000"/>
        <rFont val="ＭＳ Ｐゴシック"/>
        <family val="3"/>
        <charset val="128"/>
        <scheme val="minor"/>
      </rPr>
      <t>A</t>
    </r>
    <r>
      <rPr>
        <sz val="11"/>
        <color rgb="FFFF0000"/>
        <rFont val="ＭＳ Ｐゴシック"/>
        <family val="3"/>
        <charset val="128"/>
        <scheme val="minor"/>
      </rPr>
      <t xml:space="preserve">.9.148.98
</t>
    </r>
    <r>
      <rPr>
        <sz val="9"/>
        <color rgb="FFFF0000"/>
        <rFont val="ＭＳ Ｐゴシック"/>
        <family val="3"/>
        <charset val="128"/>
        <scheme val="minor"/>
      </rPr>
      <t>(不正文字)</t>
    </r>
    <rPh sb="12" eb="16">
      <t>フセイモジ</t>
    </rPh>
    <phoneticPr fontId="11"/>
  </si>
  <si>
    <r>
      <t>14.</t>
    </r>
    <r>
      <rPr>
        <b/>
        <sz val="11"/>
        <color rgb="FFFF0000"/>
        <rFont val="ＭＳ Ｐゴシック"/>
        <family val="3"/>
        <charset val="128"/>
        <scheme val="minor"/>
      </rPr>
      <t>&amp;</t>
    </r>
    <r>
      <rPr>
        <sz val="11"/>
        <color rgb="FFFF0000"/>
        <rFont val="ＭＳ Ｐゴシック"/>
        <family val="3"/>
        <charset val="128"/>
        <scheme val="minor"/>
      </rPr>
      <t xml:space="preserve">.148.98
</t>
    </r>
    <r>
      <rPr>
        <sz val="9"/>
        <color rgb="FFFF0000"/>
        <rFont val="ＭＳ Ｐゴシック"/>
        <family val="3"/>
        <charset val="128"/>
        <scheme val="minor"/>
      </rPr>
      <t>(不正文字)</t>
    </r>
    <rPh sb="13" eb="17">
      <t>フセイモジ</t>
    </rPh>
    <phoneticPr fontId="11"/>
  </si>
  <si>
    <r>
      <t>14.9.</t>
    </r>
    <r>
      <rPr>
        <b/>
        <sz val="11"/>
        <color rgb="FFFF0000"/>
        <rFont val="ＭＳ Ｐゴシック"/>
        <family val="3"/>
        <charset val="128"/>
        <scheme val="minor"/>
      </rPr>
      <t>256</t>
    </r>
    <r>
      <rPr>
        <sz val="11"/>
        <color rgb="FFFF0000"/>
        <rFont val="ＭＳ Ｐゴシック"/>
        <family val="3"/>
        <charset val="128"/>
        <scheme val="minor"/>
      </rPr>
      <t xml:space="preserve">.98
</t>
    </r>
    <r>
      <rPr>
        <sz val="9"/>
        <color rgb="FFFF0000"/>
        <rFont val="ＭＳ Ｐゴシック"/>
        <family val="3"/>
        <charset val="128"/>
        <scheme val="minor"/>
      </rPr>
      <t>(255以上の数字)</t>
    </r>
    <rPh sb="16" eb="18">
      <t>イジョウ</t>
    </rPh>
    <rPh sb="19" eb="21">
      <t>スウジ</t>
    </rPh>
    <phoneticPr fontId="11"/>
  </si>
  <si>
    <r>
      <t>14.9.148.</t>
    </r>
    <r>
      <rPr>
        <b/>
        <sz val="11"/>
        <color rgb="FFFF0000"/>
        <rFont val="ＭＳ Ｐゴシック"/>
        <family val="3"/>
        <charset val="128"/>
        <scheme val="minor"/>
      </rPr>
      <t>１</t>
    </r>
    <r>
      <rPr>
        <sz val="11"/>
        <color rgb="FFFF0000"/>
        <rFont val="ＭＳ Ｐゴシック"/>
        <family val="3"/>
        <charset val="128"/>
        <scheme val="minor"/>
      </rPr>
      <t xml:space="preserve">
</t>
    </r>
    <r>
      <rPr>
        <sz val="9"/>
        <color rgb="FFFF0000"/>
        <rFont val="ＭＳ Ｐゴシック"/>
        <family val="3"/>
        <charset val="128"/>
        <scheme val="minor"/>
      </rPr>
      <t>(最後が全角数字）</t>
    </r>
    <rPh sb="12" eb="14">
      <t>サイゴ</t>
    </rPh>
    <rPh sb="15" eb="17">
      <t>ゼンカク</t>
    </rPh>
    <rPh sb="17" eb="19">
      <t>スウジ</t>
    </rPh>
    <phoneticPr fontId="11"/>
  </si>
  <si>
    <r>
      <t xml:space="preserve">14.9.148.*/24
</t>
    </r>
    <r>
      <rPr>
        <b/>
        <sz val="9"/>
        <color rgb="FFFF0000"/>
        <rFont val="ＭＳ Ｐゴシック"/>
        <family val="3"/>
        <charset val="128"/>
        <scheme val="minor"/>
      </rPr>
      <t>(*と/が混在)</t>
    </r>
    <rPh sb="19" eb="21">
      <t>コンザイ</t>
    </rPh>
    <phoneticPr fontId="11"/>
  </si>
  <si>
    <r>
      <t xml:space="preserve">14.9.*.97
</t>
    </r>
    <r>
      <rPr>
        <b/>
        <sz val="9"/>
        <color rgb="FFFF0000"/>
        <rFont val="ＭＳ Ｐゴシック"/>
        <family val="3"/>
        <charset val="128"/>
        <scheme val="minor"/>
      </rPr>
      <t>(*が途中にある)</t>
    </r>
    <rPh sb="13" eb="15">
      <t>トチュウ</t>
    </rPh>
    <phoneticPr fontId="11"/>
  </si>
  <si>
    <t>128.0.0.0/1</t>
    <phoneticPr fontId="11"/>
  </si>
  <si>
    <t>14.9.191.*</t>
    <phoneticPr fontId="11"/>
  </si>
  <si>
    <t>14.9.148.*</t>
    <phoneticPr fontId="11"/>
  </si>
  <si>
    <t>管理ツール「セキュリティ」画面</t>
    <phoneticPr fontId="11"/>
  </si>
  <si>
    <t>14.9.148.97</t>
    <phoneticPr fontId="11"/>
  </si>
  <si>
    <t>{14.9.148.97_本社IPアドレス}</t>
    <rPh sb="13" eb="15">
      <t>ホンシャ</t>
    </rPh>
    <phoneticPr fontId="11"/>
  </si>
  <si>
    <t>※「セキュリティ」画面内に、接続元IPアドレスが表示されること。</t>
    <rPh sb="9" eb="11">
      <t>ガメン</t>
    </rPh>
    <rPh sb="11" eb="12">
      <t>ナイ</t>
    </rPh>
    <rPh sb="14" eb="17">
      <t>セツゾクモト</t>
    </rPh>
    <rPh sb="24" eb="26">
      <t>ヒョウジ</t>
    </rPh>
    <phoneticPr fontId="11"/>
  </si>
  <si>
    <t>XX個まで
(IP設定可能数)</t>
    <rPh sb="2" eb="3">
      <t>コ</t>
    </rPh>
    <rPh sb="9" eb="11">
      <t>セッテイ</t>
    </rPh>
    <rPh sb="11" eb="13">
      <t>カノウ</t>
    </rPh>
    <rPh sb="13" eb="14">
      <t>スウ</t>
    </rPh>
    <phoneticPr fontId="11"/>
  </si>
  <si>
    <t>192.168.10.*</t>
    <phoneticPr fontId="11"/>
  </si>
  <si>
    <t>128.10.128/25</t>
    <phoneticPr fontId="11"/>
  </si>
  <si>
    <t>1（制限する）</t>
    <phoneticPr fontId="11"/>
  </si>
  <si>
    <t>(×ボタンでクリア)</t>
    <phoneticPr fontId="11"/>
  </si>
  <si>
    <t>{}</t>
    <phoneticPr fontId="11"/>
  </si>
  <si>
    <t>追加IP-1</t>
    <rPh sb="0" eb="2">
      <t>ツイカ</t>
    </rPh>
    <phoneticPr fontId="11"/>
  </si>
  <si>
    <t>追加IP-2</t>
    <rPh sb="0" eb="2">
      <t>ツイカ</t>
    </rPh>
    <phoneticPr fontId="11"/>
  </si>
  <si>
    <t>追加IP-17</t>
    <rPh sb="0" eb="2">
      <t>ツイカ</t>
    </rPh>
    <phoneticPr fontId="11"/>
  </si>
  <si>
    <t>追加IP-18</t>
    <rPh sb="0" eb="2">
      <t>ツイカ</t>
    </rPh>
    <phoneticPr fontId="11"/>
  </si>
  <si>
    <t>192.168.10.17</t>
  </si>
  <si>
    <t>192.168.10.18</t>
  </si>
  <si>
    <t>{14.9.148.97_本社IPアドレス,北海道支社_128.10.128/25,192.168.10.1_追加IP-1,192.168.10.2_追加IP-2,…,192.168.10.18_追加IP-18}</t>
    <rPh sb="55" eb="57">
      <t>ツイカ</t>
    </rPh>
    <phoneticPr fontId="11"/>
  </si>
  <si>
    <t>(許可IP情報を20個保持)</t>
    <phoneticPr fontId="11"/>
  </si>
  <si>
    <t>・
・
(全部で20個になるように追加)</t>
    <rPh sb="5" eb="7">
      <t>ゼンブ</t>
    </rPh>
    <rPh sb="10" eb="11">
      <t>コ</t>
    </rPh>
    <rPh sb="17" eb="19">
      <t>ツイカ</t>
    </rPh>
    <phoneticPr fontId="11"/>
  </si>
  <si>
    <t>・
・
(全部で20個)</t>
    <rPh sb="5" eb="7">
      <t>ゼンブ</t>
    </rPh>
    <rPh sb="10" eb="11">
      <t>コ</t>
    </rPh>
    <phoneticPr fontId="11"/>
  </si>
  <si>
    <t>(更新完了後、画面上のIP許可リストもクリアされること)</t>
    <rPh sb="1" eb="6">
      <t>コウシンカンリョウゴ</t>
    </rPh>
    <rPh sb="7" eb="9">
      <t>ガメン</t>
    </rPh>
    <rPh sb="9" eb="10">
      <t>ジョウ</t>
    </rPh>
    <rPh sb="13" eb="15">
      <t>キョカ</t>
    </rPh>
    <phoneticPr fontId="11"/>
  </si>
  <si>
    <r>
      <t xml:space="preserve">警告ダイアログを表示
</t>
    </r>
    <r>
      <rPr>
        <sz val="9"/>
        <color theme="1"/>
        <rFont val="ＭＳ Ｐゴシック"/>
        <family val="3"/>
        <charset val="128"/>
        <scheme val="minor"/>
      </rPr>
      <t>（接続元IPがIPリストに含まれていない）</t>
    </r>
    <rPh sb="0" eb="2">
      <t>ケイコク</t>
    </rPh>
    <rPh sb="8" eb="10">
      <t>ヒョウジ</t>
    </rPh>
    <rPh sb="12" eb="15">
      <t>セツゾクモト</t>
    </rPh>
    <rPh sb="24" eb="25">
      <t>フク</t>
    </rPh>
    <phoneticPr fontId="11"/>
  </si>
  <si>
    <r>
      <t xml:space="preserve">エラーメッセージを表示
</t>
    </r>
    <r>
      <rPr>
        <sz val="9"/>
        <color theme="1"/>
        <rFont val="ＭＳ Ｐゴシック"/>
        <family val="3"/>
        <charset val="128"/>
        <scheme val="minor"/>
      </rPr>
      <t>（許可IPなし）</t>
    </r>
    <rPh sb="9" eb="11">
      <t>ヒョウジ</t>
    </rPh>
    <rPh sb="13" eb="15">
      <t>キョカ</t>
    </rPh>
    <phoneticPr fontId="11"/>
  </si>
  <si>
    <t>ユーザ一括登録機能 データバリエーション</t>
    <rPh sb="3" eb="5">
      <t>イッカツ</t>
    </rPh>
    <rPh sb="5" eb="7">
      <t>トウロク</t>
    </rPh>
    <rPh sb="7" eb="9">
      <t>キノウ</t>
    </rPh>
    <phoneticPr fontId="11"/>
  </si>
  <si>
    <t>IP制限機能 データバリエーション</t>
    <rPh sb="2" eb="6">
      <t>セイゲンキノウ</t>
    </rPh>
    <phoneticPr fontId="11"/>
  </si>
  <si>
    <t>【1】ファイル選択</t>
    <rPh sb="7" eb="9">
      <t>センタク</t>
    </rPh>
    <phoneticPr fontId="11"/>
  </si>
  <si>
    <t>「ファイルを選択」ボタン
選択するファイルの拡張子</t>
    <rPh sb="6" eb="8">
      <t>センタク</t>
    </rPh>
    <rPh sb="13" eb="15">
      <t>センタク</t>
    </rPh>
    <rPh sb="22" eb="25">
      <t>カクチョウシ</t>
    </rPh>
    <phoneticPr fontId="11"/>
  </si>
  <si>
    <t>.csv</t>
    <phoneticPr fontId="11"/>
  </si>
  <si>
    <t>.CSV</t>
    <phoneticPr fontId="11"/>
  </si>
  <si>
    <t>.xlsx</t>
    <phoneticPr fontId="11"/>
  </si>
  <si>
    <t>.txt</t>
    <phoneticPr fontId="11"/>
  </si>
  <si>
    <t>No</t>
    <phoneticPr fontId="11"/>
  </si>
  <si>
    <t>結果</t>
    <rPh sb="0" eb="2">
      <t>ケッカ</t>
    </rPh>
    <phoneticPr fontId="11"/>
  </si>
  <si>
    <t>【2】csvファイルチェック</t>
    <phoneticPr fontId="11"/>
  </si>
  <si>
    <t>DB「iw_companytbl」（企業情報テーブル）</t>
    <rPh sb="18" eb="20">
      <t>キギョウ</t>
    </rPh>
    <rPh sb="20" eb="22">
      <t>ジョウホウ</t>
    </rPh>
    <phoneticPr fontId="11"/>
  </si>
  <si>
    <t>max_user_num</t>
    <phoneticPr fontId="11"/>
  </si>
  <si>
    <t>登録可能ユーザ数</t>
    <rPh sb="0" eb="4">
      <t>トウロクカノウ</t>
    </rPh>
    <rPh sb="7" eb="8">
      <t>スウ</t>
    </rPh>
    <phoneticPr fontId="11"/>
  </si>
  <si>
    <t>DB「iw_sectiontbl」（拠点情報テーブル）</t>
    <rPh sb="18" eb="20">
      <t>キョテン</t>
    </rPh>
    <rPh sb="20" eb="22">
      <t>ジョウホウ</t>
    </rPh>
    <phoneticPr fontId="11"/>
  </si>
  <si>
    <t>拠点名</t>
    <rPh sb="0" eb="3">
      <t>キョテンメイ</t>
    </rPh>
    <phoneticPr fontId="11"/>
  </si>
  <si>
    <t>s_name</t>
    <phoneticPr fontId="11"/>
  </si>
  <si>
    <t>拠点ID</t>
    <rPh sb="0" eb="2">
      <t>キョテン</t>
    </rPh>
    <phoneticPr fontId="11"/>
  </si>
  <si>
    <t>section_id</t>
    <phoneticPr fontId="11"/>
  </si>
  <si>
    <t>表示順</t>
    <rPh sb="0" eb="3">
      <t>ヒョウジジュン</t>
    </rPh>
    <phoneticPr fontId="11"/>
  </si>
  <si>
    <t>vieworder</t>
    <phoneticPr fontId="11"/>
  </si>
  <si>
    <t>拠点１</t>
    <rPh sb="0" eb="2">
      <t>キョテン</t>
    </rPh>
    <phoneticPr fontId="11"/>
  </si>
  <si>
    <t>拠点２</t>
    <rPh sb="0" eb="2">
      <t>キョテン</t>
    </rPh>
    <phoneticPr fontId="11"/>
  </si>
  <si>
    <t>拠点３</t>
    <rPh sb="0" eb="2">
      <t>キョテン</t>
    </rPh>
    <phoneticPr fontId="11"/>
  </si>
  <si>
    <t>所属ID</t>
    <rPh sb="0" eb="2">
      <t>ショゾク</t>
    </rPh>
    <phoneticPr fontId="11"/>
  </si>
  <si>
    <t>group_id</t>
    <phoneticPr fontId="11"/>
  </si>
  <si>
    <t>所属名</t>
    <rPh sb="0" eb="3">
      <t>ショゾクメイ</t>
    </rPh>
    <phoneticPr fontId="11"/>
  </si>
  <si>
    <t>g_name</t>
    <phoneticPr fontId="11"/>
  </si>
  <si>
    <t>所属１－１</t>
    <rPh sb="0" eb="2">
      <t>ショゾク</t>
    </rPh>
    <phoneticPr fontId="11"/>
  </si>
  <si>
    <t>所属１－２</t>
    <rPh sb="0" eb="2">
      <t>ショゾク</t>
    </rPh>
    <phoneticPr fontId="11"/>
  </si>
  <si>
    <t>所属２－１</t>
    <rPh sb="0" eb="2">
      <t>ショゾク</t>
    </rPh>
    <phoneticPr fontId="11"/>
  </si>
  <si>
    <t>所属３－１</t>
    <rPh sb="0" eb="2">
      <t>ショゾク</t>
    </rPh>
    <phoneticPr fontId="11"/>
  </si>
  <si>
    <t>DB「iw_grouptbl」（所属情報テーブル）</t>
    <rPh sb="16" eb="18">
      <t>ショゾク</t>
    </rPh>
    <rPh sb="18" eb="20">
      <t>ジョウホウ</t>
    </rPh>
    <phoneticPr fontId="11"/>
  </si>
  <si>
    <t>ユーザID</t>
    <phoneticPr fontId="11"/>
  </si>
  <si>
    <t>user_id</t>
    <phoneticPr fontId="11"/>
  </si>
  <si>
    <t>社員ID</t>
    <rPh sb="0" eb="2">
      <t>シャイン</t>
    </rPh>
    <phoneticPr fontId="11"/>
  </si>
  <si>
    <t>staff_id</t>
    <phoneticPr fontId="11"/>
  </si>
  <si>
    <t>社員名</t>
    <rPh sb="0" eb="3">
      <t>シャインメイ</t>
    </rPh>
    <phoneticPr fontId="11"/>
  </si>
  <si>
    <t>name</t>
    <phoneticPr fontId="11"/>
  </si>
  <si>
    <t>メールアドレス</t>
    <phoneticPr fontId="11"/>
  </si>
  <si>
    <t>パスワード</t>
    <phoneticPr fontId="11"/>
  </si>
  <si>
    <t>passwd</t>
    <phoneticPr fontId="11"/>
  </si>
  <si>
    <t>DB「iw_classtbl」（役職情報テーブル）</t>
    <rPh sb="16" eb="18">
      <t>ヤクショク</t>
    </rPh>
    <rPh sb="18" eb="20">
      <t>ジョウホウ</t>
    </rPh>
    <phoneticPr fontId="11"/>
  </si>
  <si>
    <t>役職ID</t>
    <rPh sb="0" eb="2">
      <t>ヤクショク</t>
    </rPh>
    <phoneticPr fontId="11"/>
  </si>
  <si>
    <t>class_id</t>
    <phoneticPr fontId="11"/>
  </si>
  <si>
    <t>役職名（表示）</t>
    <rPh sb="0" eb="3">
      <t>ヤクショクメイ</t>
    </rPh>
    <rPh sb="4" eb="6">
      <t>ヒョウジ</t>
    </rPh>
    <phoneticPr fontId="11"/>
  </si>
  <si>
    <t>役職名（フル）</t>
    <rPh sb="0" eb="3">
      <t>ヤクショクメイ</t>
    </rPh>
    <phoneticPr fontId="11"/>
  </si>
  <si>
    <t>c_name1</t>
    <phoneticPr fontId="11"/>
  </si>
  <si>
    <t>c_name</t>
    <phoneticPr fontId="11"/>
  </si>
  <si>
    <t>部長</t>
    <rPh sb="0" eb="2">
      <t>ブチョウ</t>
    </rPh>
    <phoneticPr fontId="11"/>
  </si>
  <si>
    <t>社員</t>
    <rPh sb="0" eb="2">
      <t>シャイン</t>
    </rPh>
    <phoneticPr fontId="11"/>
  </si>
  <si>
    <t>一般社員</t>
    <rPh sb="0" eb="2">
      <t>イッパン</t>
    </rPh>
    <rPh sb="2" eb="4">
      <t>シャイン</t>
    </rPh>
    <phoneticPr fontId="11"/>
  </si>
  <si>
    <t>section</t>
    <phoneticPr fontId="11"/>
  </si>
  <si>
    <t>class</t>
    <phoneticPr fontId="11"/>
  </si>
  <si>
    <t>管理者</t>
    <rPh sb="0" eb="3">
      <t>カンリシャ</t>
    </rPh>
    <phoneticPr fontId="11"/>
  </si>
  <si>
    <t>admin_flg</t>
    <phoneticPr fontId="11"/>
  </si>
  <si>
    <t>テレワークフラグ</t>
    <phoneticPr fontId="11"/>
  </si>
  <si>
    <t>telework_flg</t>
    <phoneticPr fontId="11"/>
  </si>
  <si>
    <t>アバターURL</t>
    <phoneticPr fontId="11"/>
  </si>
  <si>
    <t>avatar</t>
    <phoneticPr fontId="11"/>
  </si>
  <si>
    <t>社員名(かな)</t>
    <rPh sb="0" eb="3">
      <t>シャインメイ</t>
    </rPh>
    <phoneticPr fontId="11"/>
  </si>
  <si>
    <t>name_phonetic</t>
    <phoneticPr fontId="11"/>
  </si>
  <si>
    <t>勤怠管理</t>
    <rPh sb="0" eb="4">
      <t>キンタイカンリ</t>
    </rPh>
    <phoneticPr fontId="11"/>
  </si>
  <si>
    <t>attendance_flg</t>
    <phoneticPr fontId="11"/>
  </si>
  <si>
    <t>DB「iw_usertbl」（ユーザ情報テーブル）  ※以下にない項目は任意</t>
    <rPh sb="18" eb="20">
      <t>ジョウホウ</t>
    </rPh>
    <rPh sb="28" eb="30">
      <t>イカ</t>
    </rPh>
    <rPh sb="33" eb="35">
      <t>コウモク</t>
    </rPh>
    <rPh sb="36" eb="38">
      <t>ニンイ</t>
    </rPh>
    <phoneticPr fontId="11"/>
  </si>
  <si>
    <t>一意のID</t>
    <rPh sb="0" eb="2">
      <t>イチイ</t>
    </rPh>
    <phoneticPr fontId="11"/>
  </si>
  <si>
    <t>ミクロス　太郎</t>
    <rPh sb="5" eb="7">
      <t>タロウ</t>
    </rPh>
    <phoneticPr fontId="11"/>
  </si>
  <si>
    <t>ミクロス　花子</t>
    <rPh sb="5" eb="7">
      <t>ハナコ</t>
    </rPh>
    <phoneticPr fontId="11"/>
  </si>
  <si>
    <t>ミクロス　次郎</t>
    <rPh sb="5" eb="7">
      <t>ジロウ</t>
    </rPh>
    <phoneticPr fontId="11"/>
  </si>
  <si>
    <t>mail</t>
    <phoneticPr fontId="11"/>
  </si>
  <si>
    <t>h.mic_test2-7@test.co.jp</t>
    <phoneticPr fontId="11"/>
  </si>
  <si>
    <t>j.mic_test2-7@test.co.jp</t>
    <phoneticPr fontId="11"/>
  </si>
  <si>
    <t>(任意)</t>
    <rPh sb="1" eb="3">
      <t>ニンイ</t>
    </rPh>
    <phoneticPr fontId="11"/>
  </si>
  <si>
    <t>ミクロス　三郎</t>
    <rPh sb="5" eb="7">
      <t>サブロウ</t>
    </rPh>
    <phoneticPr fontId="11"/>
  </si>
  <si>
    <t>s.mic_test2-7@test.co.jp</t>
    <phoneticPr fontId="11"/>
  </si>
  <si>
    <t>(任意)</t>
    <phoneticPr fontId="11"/>
  </si>
  <si>
    <t>みくろす　さぶろう</t>
    <phoneticPr fontId="11"/>
  </si>
  <si>
    <t>DB「iw_maintbl」（行先情報テーブル）  ※以下にない項目は任意</t>
    <rPh sb="15" eb="17">
      <t>イキサキ</t>
    </rPh>
    <phoneticPr fontId="11"/>
  </si>
  <si>
    <t>社員ID</t>
    <rPh sb="0" eb="2">
      <t>シャイン</t>
    </rPh>
    <phoneticPr fontId="11"/>
  </si>
  <si>
    <t>(1)</t>
    <phoneticPr fontId="11"/>
  </si>
  <si>
    <t>(2)</t>
    <phoneticPr fontId="11"/>
  </si>
  <si>
    <t>(3)</t>
    <phoneticPr fontId="11"/>
  </si>
  <si>
    <t>(4)</t>
    <phoneticPr fontId="11"/>
  </si>
  <si>
    <t>(5)</t>
    <phoneticPr fontId="11"/>
  </si>
  <si>
    <t>(6)</t>
    <phoneticPr fontId="11"/>
  </si>
  <si>
    <t>(7)</t>
    <phoneticPr fontId="11"/>
  </si>
  <si>
    <t>(8)</t>
    <phoneticPr fontId="11"/>
  </si>
  <si>
    <t>パスワード</t>
    <phoneticPr fontId="11"/>
  </si>
  <si>
    <t>(9)</t>
    <phoneticPr fontId="11"/>
  </si>
  <si>
    <t>(10)</t>
    <phoneticPr fontId="11"/>
  </si>
  <si>
    <t>勤怠管理</t>
    <rPh sb="0" eb="4">
      <t>キンタイカンリ</t>
    </rPh>
    <phoneticPr fontId="11"/>
  </si>
  <si>
    <t>(11)</t>
    <phoneticPr fontId="11"/>
  </si>
  <si>
    <t>※範囲外</t>
    <rPh sb="1" eb="4">
      <t>ハンイガイ</t>
    </rPh>
    <phoneticPr fontId="11"/>
  </si>
  <si>
    <t>csvファイルのデータ</t>
    <phoneticPr fontId="11"/>
  </si>
  <si>
    <t>No</t>
    <phoneticPr fontId="11"/>
  </si>
  <si>
    <t>チェック結果</t>
    <rPh sb="4" eb="6">
      <t>ケッカ</t>
    </rPh>
    <phoneticPr fontId="11"/>
  </si>
  <si>
    <t>チェックボックス</t>
    <phoneticPr fontId="11"/>
  </si>
  <si>
    <t>データ表　（各列にはcsvに記載のデータがそのまま表示される）</t>
    <rPh sb="3" eb="4">
      <t>ヒョウ</t>
    </rPh>
    <rPh sb="6" eb="8">
      <t>カクレツ</t>
    </rPh>
    <rPh sb="14" eb="16">
      <t>キサイ</t>
    </rPh>
    <rPh sb="25" eb="27">
      <t>ヒョウジ</t>
    </rPh>
    <phoneticPr fontId="11"/>
  </si>
  <si>
    <t>エラー表示の列名</t>
    <rPh sb="3" eb="5">
      <t>ヒョウジ</t>
    </rPh>
    <rPh sb="6" eb="7">
      <t>レツ</t>
    </rPh>
    <rPh sb="7" eb="8">
      <t>メイ</t>
    </rPh>
    <phoneticPr fontId="11"/>
  </si>
  <si>
    <t>要確認の列名</t>
    <rPh sb="0" eb="3">
      <t>ヨウカクニン</t>
    </rPh>
    <rPh sb="4" eb="5">
      <t>レツ</t>
    </rPh>
    <rPh sb="5" eb="6">
      <t>メイ</t>
    </rPh>
    <phoneticPr fontId="11"/>
  </si>
  <si>
    <t>一括登録ボタン</t>
    <rPh sb="0" eb="2">
      <t>イッカツ</t>
    </rPh>
    <rPh sb="2" eb="4">
      <t>トウロク</t>
    </rPh>
    <phoneticPr fontId="11"/>
  </si>
  <si>
    <t>(なし)</t>
    <phoneticPr fontId="11"/>
  </si>
  <si>
    <t>ONで非活性</t>
    <rPh sb="3" eb="6">
      <t>ヒカッセイ</t>
    </rPh>
    <phoneticPr fontId="11"/>
  </si>
  <si>
    <t>OK</t>
    <phoneticPr fontId="11"/>
  </si>
  <si>
    <t>(なし)</t>
    <phoneticPr fontId="11"/>
  </si>
  <si>
    <t>活性</t>
    <rPh sb="0" eb="2">
      <t>カッセイ</t>
    </rPh>
    <phoneticPr fontId="11"/>
  </si>
  <si>
    <t>いんぽーとでーた１</t>
    <phoneticPr fontId="11"/>
  </si>
  <si>
    <t>インポートデータ2</t>
    <phoneticPr fontId="11"/>
  </si>
  <si>
    <t>インポートデータ1</t>
    <phoneticPr fontId="11"/>
  </si>
  <si>
    <t>所属１－３</t>
    <rPh sb="0" eb="2">
      <t>ショゾク</t>
    </rPh>
    <phoneticPr fontId="11"/>
  </si>
  <si>
    <t>import1_test2-7@test.co.jp</t>
    <phoneticPr fontId="11"/>
  </si>
  <si>
    <t>※メッセージ</t>
    <phoneticPr fontId="11"/>
  </si>
  <si>
    <t>csvファイル内に同一の社員IDが複数存在します。</t>
    <phoneticPr fontId="11"/>
  </si>
  <si>
    <t>入力した社員ID、メールアドレスと一致するユーザがすでに登録されています。このまま登録すると登録済みのデータが上書きされます。</t>
    <phoneticPr fontId="11"/>
  </si>
  <si>
    <t>社員IDは1～10桁で入力してください。</t>
    <phoneticPr fontId="11"/>
  </si>
  <si>
    <t>データ数</t>
    <rPh sb="3" eb="4">
      <t>スウ</t>
    </rPh>
    <phoneticPr fontId="11"/>
  </si>
  <si>
    <t>メッセージ</t>
    <phoneticPr fontId="11"/>
  </si>
  <si>
    <t>チェック項目</t>
    <rPh sb="4" eb="6">
      <t>コウモク</t>
    </rPh>
    <phoneticPr fontId="11"/>
  </si>
  <si>
    <t>登録するデータの種類は10項目です。</t>
    <phoneticPr fontId="11"/>
  </si>
  <si>
    <t>項目数</t>
    <rPh sb="0" eb="3">
      <t>コウモクスウ</t>
    </rPh>
    <phoneticPr fontId="11"/>
  </si>
  <si>
    <t>氏名</t>
    <rPh sb="0" eb="2">
      <t>シメイ</t>
    </rPh>
    <phoneticPr fontId="11"/>
  </si>
  <si>
    <t>役職が未入力です。</t>
    <phoneticPr fontId="11"/>
  </si>
  <si>
    <t>登録されていない役職が入力されています。このまま登録すると役職も新しく追加されます。</t>
    <phoneticPr fontId="11"/>
  </si>
  <si>
    <t>所属が未入力です。</t>
    <rPh sb="0" eb="2">
      <t>ショゾク</t>
    </rPh>
    <phoneticPr fontId="11"/>
  </si>
  <si>
    <t>拠点・所属</t>
    <rPh sb="0" eb="2">
      <t>キョテン</t>
    </rPh>
    <rPh sb="3" eb="5">
      <t>ショゾク</t>
    </rPh>
    <phoneticPr fontId="11"/>
  </si>
  <si>
    <t>パスワードが未入力です。</t>
    <phoneticPr fontId="11"/>
  </si>
  <si>
    <t>管理者</t>
    <rPh sb="0" eb="3">
      <t>カンリシャ</t>
    </rPh>
    <phoneticPr fontId="11"/>
  </si>
  <si>
    <t>メールアドレス</t>
    <phoneticPr fontId="11"/>
  </si>
  <si>
    <t>メールアドレス</t>
    <phoneticPr fontId="11"/>
  </si>
  <si>
    <t>パスワード</t>
    <phoneticPr fontId="11"/>
  </si>
  <si>
    <t>同一の社員IDのユーザがすでに登録されています。</t>
    <phoneticPr fontId="11"/>
  </si>
  <si>
    <t>社員IDは数字で入力してください。</t>
    <phoneticPr fontId="11"/>
  </si>
  <si>
    <t>氏名が未入力です。</t>
    <phoneticPr fontId="11"/>
  </si>
  <si>
    <t>拠点が未入力です。</t>
    <phoneticPr fontId="11"/>
  </si>
  <si>
    <t>登録されていない拠点・所属が入力されています。このまま登録すると拠点・所属も新しく追加されます。</t>
    <phoneticPr fontId="11"/>
  </si>
  <si>
    <t>登録されていない所属が入力されています。このまま登録すると所属も新しく追加されます。</t>
    <phoneticPr fontId="11"/>
  </si>
  <si>
    <t>メールアドレスが未入力です。</t>
    <phoneticPr fontId="11"/>
  </si>
  <si>
    <t>同一のメールアドレスのユーザがすでに登録されています。</t>
    <phoneticPr fontId="11"/>
  </si>
  <si>
    <t>管理者は0または1で入力してください。(0：管理者権限なし, 1：管理者権限あり)</t>
    <phoneticPr fontId="11"/>
  </si>
  <si>
    <t>勤怠管理は0または1で入力してください。(0：勤怠管理を利用する, 1：勤怠管理を利用しない)</t>
    <phoneticPr fontId="11"/>
  </si>
  <si>
    <t>※メッセージ</t>
    <phoneticPr fontId="11"/>
  </si>
  <si>
    <t>OFFで活性</t>
    <rPh sb="4" eb="6">
      <t>カッセイ</t>
    </rPh>
    <phoneticPr fontId="11"/>
  </si>
  <si>
    <t>要確認</t>
    <rPh sb="0" eb="3">
      <t>ヨウカクニン</t>
    </rPh>
    <phoneticPr fontId="11"/>
  </si>
  <si>
    <t>No</t>
    <phoneticPr fontId="11"/>
  </si>
  <si>
    <t>エラー</t>
    <phoneticPr fontId="11"/>
  </si>
  <si>
    <t>エラーはありませんでした。</t>
    <phoneticPr fontId="11"/>
  </si>
  <si>
    <t>全体</t>
    <rPh sb="0" eb="2">
      <t>ゼンタイ</t>
    </rPh>
    <phoneticPr fontId="11"/>
  </si>
  <si>
    <t>インポートデータ3</t>
  </si>
  <si>
    <t>(任意)</t>
    <rPh sb="1" eb="3">
      <t>ニンイ</t>
    </rPh>
    <phoneticPr fontId="11"/>
  </si>
  <si>
    <t>部長</t>
    <rPh sb="0" eb="2">
      <t>ブチョウ</t>
    </rPh>
    <phoneticPr fontId="11"/>
  </si>
  <si>
    <t>拠点４</t>
    <rPh sb="0" eb="2">
      <t>キョテン</t>
    </rPh>
    <phoneticPr fontId="11"/>
  </si>
  <si>
    <t>所属１－１</t>
    <rPh sb="0" eb="2">
      <t>ショゾク</t>
    </rPh>
    <phoneticPr fontId="11"/>
  </si>
  <si>
    <t>(空)</t>
    <rPh sb="1" eb="2">
      <t>カラ</t>
    </rPh>
    <phoneticPr fontId="11"/>
  </si>
  <si>
    <t>拠点、所属</t>
    <rPh sb="0" eb="2">
      <t>キョテン</t>
    </rPh>
    <rPh sb="3" eb="5">
      <t>ショゾク</t>
    </rPh>
    <phoneticPr fontId="11"/>
  </si>
  <si>
    <t>インポートデータ4</t>
  </si>
  <si>
    <t>インポートデータ4</t>
    <phoneticPr fontId="11"/>
  </si>
  <si>
    <t>インポートデータ5</t>
  </si>
  <si>
    <t>インポートデータ5</t>
    <phoneticPr fontId="11"/>
  </si>
  <si>
    <t>import2_test2-7@test.co.jp</t>
    <phoneticPr fontId="11"/>
  </si>
  <si>
    <t>import3_test2-7@test.co.jp</t>
    <phoneticPr fontId="11"/>
  </si>
  <si>
    <t>import4_test2-7@test.co.jp</t>
    <phoneticPr fontId="11"/>
  </si>
  <si>
    <t>import5_test2-7@test.co.jp</t>
    <phoneticPr fontId="11"/>
  </si>
  <si>
    <t>インポートデータ6</t>
  </si>
  <si>
    <t>インポートデータ7</t>
  </si>
  <si>
    <t>インポートデータ8</t>
  </si>
  <si>
    <t>インポートデータ9</t>
  </si>
  <si>
    <t>インポートデータ10</t>
  </si>
  <si>
    <t>インポートデータ11</t>
  </si>
  <si>
    <t>インポートデータ12</t>
  </si>
  <si>
    <t>インポートデータ13</t>
  </si>
  <si>
    <t>課長</t>
    <rPh sb="0" eb="2">
      <t>カチョウ</t>
    </rPh>
    <phoneticPr fontId="11"/>
  </si>
  <si>
    <t>import6_test2-7@test.co.jp</t>
    <phoneticPr fontId="11"/>
  </si>
  <si>
    <t>役職</t>
    <rPh sb="0" eb="2">
      <t>ヤクショク</t>
    </rPh>
    <phoneticPr fontId="11"/>
  </si>
  <si>
    <t>h.mic_test2-7@test.co.jp</t>
    <phoneticPr fontId="11"/>
  </si>
  <si>
    <t>社員</t>
    <rPh sb="0" eb="2">
      <t>シャイン</t>
    </rPh>
    <phoneticPr fontId="11"/>
  </si>
  <si>
    <t>拠点２</t>
    <rPh sb="0" eb="2">
      <t>キョテン</t>
    </rPh>
    <phoneticPr fontId="11"/>
  </si>
  <si>
    <t>所属２－１</t>
    <rPh sb="0" eb="2">
      <t>ショゾク</t>
    </rPh>
    <phoneticPr fontId="11"/>
  </si>
  <si>
    <t>社員名、メールアドレス</t>
    <rPh sb="0" eb="3">
      <t>シャインメイ</t>
    </rPh>
    <phoneticPr fontId="11"/>
  </si>
  <si>
    <t>import8_test2-7@test.co.jp</t>
    <phoneticPr fontId="11"/>
  </si>
  <si>
    <t>(あり)</t>
    <phoneticPr fontId="11"/>
  </si>
  <si>
    <t>OFFで非活性</t>
    <rPh sb="4" eb="7">
      <t>ヒカッセイ</t>
    </rPh>
    <phoneticPr fontId="11"/>
  </si>
  <si>
    <t>非活性</t>
    <rPh sb="0" eb="3">
      <t>ヒカッセイ</t>
    </rPh>
    <phoneticPr fontId="11"/>
  </si>
  <si>
    <t>インポートデータ9-2</t>
    <phoneticPr fontId="11"/>
  </si>
  <si>
    <t>インポートデータ9-1</t>
    <phoneticPr fontId="11"/>
  </si>
  <si>
    <t>import8_test2-7@test.co.jp</t>
    <phoneticPr fontId="11"/>
  </si>
  <si>
    <t>import9-1_test2-7@test.co.jp</t>
    <phoneticPr fontId="11"/>
  </si>
  <si>
    <t>import9-2_test2-7@test.co.jp</t>
    <phoneticPr fontId="11"/>
  </si>
  <si>
    <t>(なし)</t>
  </si>
  <si>
    <t>(なし)</t>
    <phoneticPr fontId="11"/>
  </si>
  <si>
    <t>非活性</t>
    <phoneticPr fontId="11"/>
  </si>
  <si>
    <t>import10_test2-7@test.co.jp</t>
    <phoneticPr fontId="11"/>
  </si>
  <si>
    <t>インポートデータ15</t>
  </si>
  <si>
    <t>インポートデータ16</t>
  </si>
  <si>
    <t>インポートデータ17</t>
  </si>
  <si>
    <t>インポートデータ18</t>
  </si>
  <si>
    <t>インポートデータ19</t>
  </si>
  <si>
    <t>abc</t>
    <phoneticPr fontId="11"/>
  </si>
  <si>
    <t>import11_test2-7@test.co.jp</t>
    <phoneticPr fontId="11"/>
  </si>
  <si>
    <t>import12_test2-7@test.co.jp</t>
    <phoneticPr fontId="11"/>
  </si>
  <si>
    <t>import13_test2-7@test.co.jp</t>
    <phoneticPr fontId="11"/>
  </si>
  <si>
    <t>import14_test2-7@test.co.jp</t>
    <phoneticPr fontId="11"/>
  </si>
  <si>
    <t>import15_test2-7@test.co.jp</t>
    <phoneticPr fontId="11"/>
  </si>
  <si>
    <t>import16_test2-7@test.co.jp</t>
    <phoneticPr fontId="11"/>
  </si>
  <si>
    <t>拠点</t>
    <rPh sb="0" eb="2">
      <t>キョテン</t>
    </rPh>
    <phoneticPr fontId="11"/>
  </si>
  <si>
    <t>所属</t>
    <rPh sb="0" eb="2">
      <t>ショゾク</t>
    </rPh>
    <phoneticPr fontId="11"/>
  </si>
  <si>
    <t>import17_test2-7@test.co.jp</t>
    <phoneticPr fontId="11"/>
  </si>
  <si>
    <t>メールアドレス</t>
    <phoneticPr fontId="11"/>
  </si>
  <si>
    <t>メールアドレス</t>
    <phoneticPr fontId="11"/>
  </si>
  <si>
    <t>import20_test2-7@test.co.jp</t>
    <phoneticPr fontId="11"/>
  </si>
  <si>
    <t>パスワード</t>
    <phoneticPr fontId="11"/>
  </si>
  <si>
    <t>インポートデータ20</t>
  </si>
  <si>
    <t>インポートデータ21</t>
  </si>
  <si>
    <t>インポートデータ22</t>
  </si>
  <si>
    <t>インポートデータ25</t>
  </si>
  <si>
    <t>インポートデータ26</t>
  </si>
  <si>
    <t>import21_test2-7@test.co.jp</t>
    <phoneticPr fontId="11"/>
  </si>
  <si>
    <t>管理者</t>
    <rPh sb="0" eb="3">
      <t>カンリシャ</t>
    </rPh>
    <phoneticPr fontId="11"/>
  </si>
  <si>
    <t>勤怠管理</t>
    <rPh sb="0" eb="4">
      <t>キンタイカンリ</t>
    </rPh>
    <phoneticPr fontId="11"/>
  </si>
  <si>
    <t>import22_test2-7@test.co.jp</t>
    <phoneticPr fontId="11"/>
  </si>
  <si>
    <t>　　　　　…　（csvファイル内に７人分のデータを記述）</t>
    <rPh sb="15" eb="16">
      <t>ナイ</t>
    </rPh>
    <rPh sb="18" eb="19">
      <t>ヒト</t>
    </rPh>
    <rPh sb="19" eb="20">
      <t>ブン</t>
    </rPh>
    <rPh sb="25" eb="27">
      <t>キジュツ</t>
    </rPh>
    <phoneticPr fontId="11"/>
  </si>
  <si>
    <t>インポート超過1</t>
    <rPh sb="5" eb="7">
      <t>チョウカ</t>
    </rPh>
    <phoneticPr fontId="11"/>
  </si>
  <si>
    <t>インポート超過7</t>
    <rPh sb="5" eb="7">
      <t>チョウカ</t>
    </rPh>
    <phoneticPr fontId="11"/>
  </si>
  <si>
    <t>import-over1_test2-7@test.co.jp</t>
    <phoneticPr fontId="11"/>
  </si>
  <si>
    <t>import-over7_test2-7@test.co.jp</t>
    <phoneticPr fontId="11"/>
  </si>
  <si>
    <t>(なし)</t>
    <phoneticPr fontId="11"/>
  </si>
  <si>
    <t>(なし)</t>
    <phoneticPr fontId="11"/>
  </si>
  <si>
    <t>インポートデータ24</t>
    <phoneticPr fontId="11"/>
  </si>
  <si>
    <t>import24_test2-7@test.co.jp</t>
    <phoneticPr fontId="11"/>
  </si>
  <si>
    <t>OK</t>
    <phoneticPr fontId="11"/>
  </si>
  <si>
    <t>import25_test2-7@test.co.jp</t>
    <phoneticPr fontId="11"/>
  </si>
  <si>
    <t>OFFで非活性</t>
    <rPh sb="4" eb="7">
      <t>ヒカッセイ</t>
    </rPh>
    <phoneticPr fontId="11"/>
  </si>
  <si>
    <t>import26_test2-7@test.co.jp</t>
    <phoneticPr fontId="11"/>
  </si>
  <si>
    <t xml:space="preserve">
→
「チェック開始」
クリック後</t>
    <rPh sb="13" eb="15">
      <t>カイシ</t>
    </rPh>
    <rPh sb="21" eb="22">
      <t>ゴ</t>
    </rPh>
    <phoneticPr fontId="11"/>
  </si>
  <si>
    <t>■DB登録済みデータ（以下のデータをすべて登録した状態で試験を実施すること）</t>
    <rPh sb="3" eb="6">
      <t>トウロクズ</t>
    </rPh>
    <rPh sb="11" eb="13">
      <t>イカ</t>
    </rPh>
    <rPh sb="21" eb="23">
      <t>トウロク</t>
    </rPh>
    <rPh sb="25" eb="27">
      <t>ジョウタイ</t>
    </rPh>
    <rPh sb="28" eb="30">
      <t>シケン</t>
    </rPh>
    <rPh sb="31" eb="33">
      <t>ジッシ</t>
    </rPh>
    <phoneticPr fontId="11"/>
  </si>
  <si>
    <t>import27_test2-7@test.co.jp</t>
    <phoneticPr fontId="11"/>
  </si>
  <si>
    <t>import28_test2-7@test.co.jp</t>
    <phoneticPr fontId="11"/>
  </si>
  <si>
    <r>
      <t xml:space="preserve">iw_maintbl
</t>
    </r>
    <r>
      <rPr>
        <sz val="9"/>
        <color theme="1"/>
        <rFont val="ＭＳ Ｐゴシック"/>
        <family val="3"/>
        <charset val="128"/>
        <scheme val="minor"/>
      </rPr>
      <t>（行先情報テーブル）</t>
    </r>
    <rPh sb="12" eb="14">
      <t>イキサキ</t>
    </rPh>
    <rPh sb="14" eb="16">
      <t>ジョウホウ</t>
    </rPh>
    <phoneticPr fontId="11"/>
  </si>
  <si>
    <r>
      <t xml:space="preserve">iw_classtbl
</t>
    </r>
    <r>
      <rPr>
        <sz val="9"/>
        <color theme="1"/>
        <rFont val="ＭＳ Ｐゴシック"/>
        <family val="3"/>
        <charset val="128"/>
        <scheme val="minor"/>
      </rPr>
      <t>（役職情報テーブル）</t>
    </r>
    <rPh sb="13" eb="15">
      <t>ヤクショク</t>
    </rPh>
    <rPh sb="15" eb="17">
      <t>ジョウホウ</t>
    </rPh>
    <phoneticPr fontId="11"/>
  </si>
  <si>
    <r>
      <t xml:space="preserve">iw_sectiontbl
</t>
    </r>
    <r>
      <rPr>
        <sz val="9"/>
        <color theme="1"/>
        <rFont val="ＭＳ Ｐゴシック"/>
        <family val="3"/>
        <charset val="128"/>
        <scheme val="minor"/>
      </rPr>
      <t>（拠点情報テーブル）</t>
    </r>
    <rPh sb="15" eb="17">
      <t>キョテン</t>
    </rPh>
    <rPh sb="17" eb="19">
      <t>ジョウホウ</t>
    </rPh>
    <phoneticPr fontId="11"/>
  </si>
  <si>
    <r>
      <t xml:space="preserve">iw_grouptbl
</t>
    </r>
    <r>
      <rPr>
        <sz val="9"/>
        <color theme="1"/>
        <rFont val="ＭＳ Ｐゴシック"/>
        <family val="3"/>
        <charset val="128"/>
        <scheme val="minor"/>
      </rPr>
      <t>（所属情報テーブル）</t>
    </r>
    <rPh sb="13" eb="15">
      <t>ショゾク</t>
    </rPh>
    <rPh sb="15" eb="17">
      <t>ジョウホウ</t>
    </rPh>
    <phoneticPr fontId="11"/>
  </si>
  <si>
    <t>null</t>
    <phoneticPr fontId="11"/>
  </si>
  <si>
    <t>※所属名が重複するが拠点が異なる</t>
    <rPh sb="1" eb="4">
      <t>ショゾクメイ</t>
    </rPh>
    <rPh sb="5" eb="7">
      <t>チョウフク</t>
    </rPh>
    <rPh sb="10" eb="12">
      <t>キョテン</t>
    </rPh>
    <rPh sb="13" eb="14">
      <t>コト</t>
    </rPh>
    <phoneticPr fontId="11"/>
  </si>
  <si>
    <t>インポートデータ2</t>
  </si>
  <si>
    <t>いんぽーとでーた1</t>
    <phoneticPr fontId="11"/>
  </si>
  <si>
    <t>いんぽーとでーた3</t>
    <phoneticPr fontId="11"/>
  </si>
  <si>
    <t>■登録結果</t>
    <rPh sb="1" eb="3">
      <t>トウロク</t>
    </rPh>
    <rPh sb="3" eb="5">
      <t>ケッカ</t>
    </rPh>
    <phoneticPr fontId="11"/>
  </si>
  <si>
    <t>u-1</t>
    <phoneticPr fontId="11"/>
  </si>
  <si>
    <t>m-1</t>
  </si>
  <si>
    <t>state</t>
    <phoneticPr fontId="11"/>
  </si>
  <si>
    <t>状態</t>
    <rPh sb="0" eb="2">
      <t>ジョウタイ</t>
    </rPh>
    <phoneticPr fontId="11"/>
  </si>
  <si>
    <t>dist</t>
    <phoneticPr fontId="11"/>
  </si>
  <si>
    <t>行き先</t>
    <rPh sb="0" eb="3">
      <t>イキサキ</t>
    </rPh>
    <phoneticPr fontId="11"/>
  </si>
  <si>
    <t>ret_date</t>
    <phoneticPr fontId="11"/>
  </si>
  <si>
    <t>帰社日</t>
    <rPh sb="0" eb="3">
      <t>キシャビ</t>
    </rPh>
    <phoneticPr fontId="11"/>
  </si>
  <si>
    <t>null</t>
    <phoneticPr fontId="11"/>
  </si>
  <si>
    <t>ret_time</t>
    <phoneticPr fontId="11"/>
  </si>
  <si>
    <t>帰社時間</t>
    <rPh sb="0" eb="4">
      <t>キシャジカン</t>
    </rPh>
    <phoneticPr fontId="11"/>
  </si>
  <si>
    <t>move_direct</t>
    <phoneticPr fontId="11"/>
  </si>
  <si>
    <t>直行直帰</t>
    <rPh sb="0" eb="4">
      <t>チョッコウチョッキ</t>
    </rPh>
    <phoneticPr fontId="11"/>
  </si>
  <si>
    <t>(なし)</t>
    <phoneticPr fontId="11"/>
  </si>
  <si>
    <t>u-2</t>
  </si>
  <si>
    <t>m-2</t>
  </si>
  <si>
    <t>※各Noの試験を実施後はインポートしたデータを削除し、「■DB登録済みデータ」の状態に戻してから次の試験を実施すること。</t>
    <rPh sb="1" eb="2">
      <t>カク</t>
    </rPh>
    <rPh sb="5" eb="7">
      <t>シケン</t>
    </rPh>
    <rPh sb="8" eb="11">
      <t>ジッシゴ</t>
    </rPh>
    <rPh sb="23" eb="25">
      <t>サクジョ</t>
    </rPh>
    <rPh sb="31" eb="34">
      <t>トウロクズ</t>
    </rPh>
    <rPh sb="40" eb="42">
      <t>ジョウタイ</t>
    </rPh>
    <rPh sb="43" eb="44">
      <t>モド</t>
    </rPh>
    <rPh sb="48" eb="49">
      <t>ツギ</t>
    </rPh>
    <rPh sb="50" eb="52">
      <t>シケン</t>
    </rPh>
    <rPh sb="53" eb="55">
      <t>ジッシ</t>
    </rPh>
    <phoneticPr fontId="11"/>
  </si>
  <si>
    <t>　（同時消化する場合は、登録可能件数、vieworderや、役職・拠点・所属IDが変わることに注意すること）</t>
    <rPh sb="30" eb="32">
      <t>ヤクショク</t>
    </rPh>
    <rPh sb="33" eb="35">
      <t>キョテン</t>
    </rPh>
    <rPh sb="36" eb="38">
      <t>ショゾク</t>
    </rPh>
    <phoneticPr fontId="11"/>
  </si>
  <si>
    <t>c-1</t>
    <phoneticPr fontId="11"/>
  </si>
  <si>
    <t>インポートデータ7</t>
    <phoneticPr fontId="11"/>
  </si>
  <si>
    <t>csv入力値</t>
    <phoneticPr fontId="11"/>
  </si>
  <si>
    <t>(変更なし)</t>
    <rPh sb="1" eb="3">
      <t>ヘンコウ</t>
    </rPh>
    <phoneticPr fontId="11"/>
  </si>
  <si>
    <t>インポートデータ1</t>
    <phoneticPr fontId="11"/>
  </si>
  <si>
    <t>import1_test2-7@test.co.jp</t>
  </si>
  <si>
    <t>csv入力値を暗号化</t>
    <phoneticPr fontId="11"/>
  </si>
  <si>
    <t>null</t>
    <phoneticPr fontId="11"/>
  </si>
  <si>
    <t>linked_wh_flg</t>
    <phoneticPr fontId="11"/>
  </si>
  <si>
    <t>行先入力連動</t>
    <rPh sb="0" eb="2">
      <t>イキサキ</t>
    </rPh>
    <rPh sb="2" eb="4">
      <t>ニュウリョク</t>
    </rPh>
    <rPh sb="4" eb="6">
      <t>レンドウ</t>
    </rPh>
    <phoneticPr fontId="11"/>
  </si>
  <si>
    <t>import2_test2-7@test.co.jp</t>
    <phoneticPr fontId="11"/>
  </si>
  <si>
    <t>import3_test2-7@test.co.jp</t>
    <phoneticPr fontId="11"/>
  </si>
  <si>
    <t>いんぽーとでーた3</t>
    <phoneticPr fontId="11"/>
  </si>
  <si>
    <t>admin</t>
    <phoneticPr fontId="11"/>
  </si>
  <si>
    <t>h.mic_test2-7@test.co.jp</t>
    <phoneticPr fontId="11"/>
  </si>
  <si>
    <t>(変更なし)</t>
    <rPh sb="1" eb="3">
      <t>ヘンコウ</t>
    </rPh>
    <phoneticPr fontId="11"/>
  </si>
  <si>
    <t>2 (変更なし)</t>
    <rPh sb="3" eb="5">
      <t>ヘンコウ</t>
    </rPh>
    <phoneticPr fontId="11"/>
  </si>
  <si>
    <t>csv入力値</t>
    <phoneticPr fontId="11"/>
  </si>
  <si>
    <t>csv入力値</t>
    <phoneticPr fontId="11"/>
  </si>
  <si>
    <t>csv入力値</t>
    <phoneticPr fontId="11"/>
  </si>
  <si>
    <t>c-1</t>
    <phoneticPr fontId="11"/>
  </si>
  <si>
    <t>課長</t>
    <rPh sb="0" eb="2">
      <t>カチョウ</t>
    </rPh>
    <phoneticPr fontId="11"/>
  </si>
  <si>
    <t>拠点４</t>
    <rPh sb="0" eb="2">
      <t>キョテン</t>
    </rPh>
    <phoneticPr fontId="11"/>
  </si>
  <si>
    <t>s-1</t>
    <phoneticPr fontId="11"/>
  </si>
  <si>
    <t>g-1</t>
    <phoneticPr fontId="11"/>
  </si>
  <si>
    <t>所属１－３</t>
    <phoneticPr fontId="11"/>
  </si>
  <si>
    <t>g-2</t>
    <phoneticPr fontId="11"/>
  </si>
  <si>
    <t>所属１－１</t>
    <phoneticPr fontId="11"/>
  </si>
  <si>
    <t>g-1</t>
    <phoneticPr fontId="11"/>
  </si>
  <si>
    <t>s-1</t>
    <phoneticPr fontId="11"/>
  </si>
  <si>
    <t>import9_test2-7@test.co.jp</t>
    <phoneticPr fontId="11"/>
  </si>
  <si>
    <t>import10_test2-7@test.co.jp</t>
    <phoneticPr fontId="11"/>
  </si>
  <si>
    <t>一括登録後 DB</t>
    <rPh sb="0" eb="4">
      <t>イッカツトウロク</t>
    </rPh>
    <rPh sb="4" eb="5">
      <t>ゴ</t>
    </rPh>
    <phoneticPr fontId="11"/>
  </si>
  <si>
    <t xml:space="preserve">
→
「チェック開始」
クリック後</t>
    <rPh sb="10" eb="12">
      <t>カイシ</t>
    </rPh>
    <rPh sb="18" eb="19">
      <t>ゴ</t>
    </rPh>
    <phoneticPr fontId="11"/>
  </si>
  <si>
    <t>チェック結果</t>
    <rPh sb="4" eb="6">
      <t>ケッカ</t>
    </rPh>
    <phoneticPr fontId="11"/>
  </si>
  <si>
    <t>チェックボックス</t>
    <phoneticPr fontId="11"/>
  </si>
  <si>
    <t>import11_test2-7@test.co.jp</t>
    <phoneticPr fontId="11"/>
  </si>
  <si>
    <t>import12_test2-7@test.co.jp</t>
    <phoneticPr fontId="11"/>
  </si>
  <si>
    <t>import13_test2-7@test.co.jp</t>
    <phoneticPr fontId="11"/>
  </si>
  <si>
    <t>import14_test2-7@test.co.jp</t>
    <phoneticPr fontId="11"/>
  </si>
  <si>
    <t>ON</t>
    <phoneticPr fontId="11"/>
  </si>
  <si>
    <t>OFF</t>
    <phoneticPr fontId="11"/>
  </si>
  <si>
    <t>ON</t>
    <phoneticPr fontId="11"/>
  </si>
  <si>
    <t>OFF</t>
    <phoneticPr fontId="11"/>
  </si>
  <si>
    <t>u-3</t>
  </si>
  <si>
    <t>u-4</t>
  </si>
  <si>
    <t>u-5</t>
  </si>
  <si>
    <t>u-6</t>
  </si>
  <si>
    <t>u-7</t>
  </si>
  <si>
    <t>u-8</t>
  </si>
  <si>
    <t>u-9</t>
  </si>
  <si>
    <t>u-10</t>
  </si>
  <si>
    <t>m-1</t>
    <phoneticPr fontId="11"/>
  </si>
  <si>
    <t>m-3</t>
  </si>
  <si>
    <t>m-4</t>
  </si>
  <si>
    <t>m-5</t>
  </si>
  <si>
    <t>m-6</t>
  </si>
  <si>
    <t>m-7</t>
  </si>
  <si>
    <t>m-8</t>
  </si>
  <si>
    <t>m-9</t>
  </si>
  <si>
    <t>m-10</t>
  </si>
  <si>
    <t>u-2</t>
    <phoneticPr fontId="11"/>
  </si>
  <si>
    <t>u-3</t>
    <phoneticPr fontId="11"/>
  </si>
  <si>
    <t>u-4</t>
    <phoneticPr fontId="11"/>
  </si>
  <si>
    <t>u-5</t>
    <phoneticPr fontId="11"/>
  </si>
  <si>
    <t>u-10</t>
    <phoneticPr fontId="11"/>
  </si>
  <si>
    <t>(登録しない)</t>
    <rPh sb="1" eb="3">
      <t>トウロク</t>
    </rPh>
    <phoneticPr fontId="11"/>
  </si>
  <si>
    <t>ON</t>
    <phoneticPr fontId="11"/>
  </si>
  <si>
    <t>ON</t>
    <phoneticPr fontId="11"/>
  </si>
  <si>
    <t>u-11</t>
    <phoneticPr fontId="11"/>
  </si>
  <si>
    <t>インポートデータ11</t>
    <phoneticPr fontId="11"/>
  </si>
  <si>
    <t>import11_test2-7@test.co.jp</t>
    <phoneticPr fontId="11"/>
  </si>
  <si>
    <t>import4_test2-7@test.co.jp</t>
    <phoneticPr fontId="11"/>
  </si>
  <si>
    <t>import5_test2-7@test.co.jp</t>
    <phoneticPr fontId="11"/>
  </si>
  <si>
    <t>import6_test2-7@test.co.jp</t>
    <phoneticPr fontId="11"/>
  </si>
  <si>
    <t>import8_test2-7@test.co.jp</t>
    <phoneticPr fontId="11"/>
  </si>
  <si>
    <t>import9_test2-7@test.co.jp</t>
    <phoneticPr fontId="11"/>
  </si>
  <si>
    <t>import10_test2-7@test.co.jp</t>
    <phoneticPr fontId="11"/>
  </si>
  <si>
    <t>u-12</t>
    <phoneticPr fontId="11"/>
  </si>
  <si>
    <t>インポートデータ13</t>
    <phoneticPr fontId="11"/>
  </si>
  <si>
    <t>import13_test2-7@test.co.jp</t>
    <phoneticPr fontId="11"/>
  </si>
  <si>
    <t>g-3</t>
    <phoneticPr fontId="11"/>
  </si>
  <si>
    <t>u-11</t>
    <phoneticPr fontId="11"/>
  </si>
  <si>
    <t>m-11</t>
    <phoneticPr fontId="11"/>
  </si>
  <si>
    <t>u-12</t>
    <phoneticPr fontId="11"/>
  </si>
  <si>
    <t>m-12</t>
    <phoneticPr fontId="11"/>
  </si>
  <si>
    <t>インポートデータ11</t>
    <phoneticPr fontId="11"/>
  </si>
  <si>
    <t>m-12</t>
    <phoneticPr fontId="11"/>
  </si>
  <si>
    <t>インポートデータ13</t>
    <phoneticPr fontId="11"/>
  </si>
  <si>
    <t>g-3</t>
    <phoneticPr fontId="11"/>
  </si>
  <si>
    <t>【1】表示</t>
    <rPh sb="3" eb="5">
      <t>ヒョウジ</t>
    </rPh>
    <phoneticPr fontId="11"/>
  </si>
  <si>
    <t>DB「iw_companytbl」（企業テーブル）</t>
    <rPh sb="18" eb="20">
      <t>キギョウ</t>
    </rPh>
    <phoneticPr fontId="11"/>
  </si>
  <si>
    <t>ログインID</t>
    <phoneticPr fontId="11"/>
  </si>
  <si>
    <t>login_id</t>
    <phoneticPr fontId="11"/>
  </si>
  <si>
    <t>password</t>
    <phoneticPr fontId="11"/>
  </si>
  <si>
    <t>※</t>
    <phoneticPr fontId="11"/>
  </si>
  <si>
    <t>※と同じ</t>
    <rPh sb="2" eb="3">
      <t>オナ</t>
    </rPh>
    <phoneticPr fontId="11"/>
  </si>
  <si>
    <t>test1234(暗号化)</t>
    <rPh sb="9" eb="12">
      <t>アンゴウカ</t>
    </rPh>
    <phoneticPr fontId="11"/>
  </si>
  <si>
    <t>t.mic_test2-7@test.co.jp</t>
    <phoneticPr fontId="11"/>
  </si>
  <si>
    <t>○</t>
    <phoneticPr fontId="11"/>
  </si>
  <si>
    <t>test_v2-7@test.co.jp</t>
    <phoneticPr fontId="11"/>
  </si>
  <si>
    <t>管理ツールでログイン
（test_v2-7@test.co.jp）</t>
    <rPh sb="0" eb="2">
      <t>カンリ</t>
    </rPh>
    <phoneticPr fontId="11"/>
  </si>
  <si>
    <t>実施条件</t>
    <rPh sb="0" eb="4">
      <t>ジッシジョウケン</t>
    </rPh>
    <phoneticPr fontId="11"/>
  </si>
  <si>
    <r>
      <t>{</t>
    </r>
    <r>
      <rPr>
        <sz val="11"/>
        <color rgb="FF0066FF"/>
        <rFont val="ＭＳ Ｐゴシック"/>
        <family val="3"/>
        <charset val="128"/>
        <scheme val="minor"/>
      </rPr>
      <t>14.9.148.97</t>
    </r>
    <r>
      <rPr>
        <sz val="11"/>
        <color theme="1"/>
        <rFont val="ＭＳ Ｐゴシック"/>
        <family val="3"/>
        <charset val="128"/>
        <scheme val="minor"/>
      </rPr>
      <t>_本社IPアドレス}</t>
    </r>
    <rPh sb="13" eb="15">
      <t>ホンシャ</t>
    </rPh>
    <phoneticPr fontId="11"/>
  </si>
  <si>
    <r>
      <t>{</t>
    </r>
    <r>
      <rPr>
        <sz val="11"/>
        <color rgb="FF0066FF"/>
        <rFont val="ＭＳ Ｐゴシック"/>
        <family val="3"/>
        <charset val="128"/>
        <scheme val="minor"/>
      </rPr>
      <t>14.9.148.*</t>
    </r>
    <r>
      <rPr>
        <sz val="11"/>
        <color theme="1"/>
        <rFont val="ＭＳ Ｐゴシック"/>
        <family val="3"/>
        <charset val="128"/>
        <scheme val="minor"/>
      </rPr>
      <t>_本社IPアドレス}</t>
    </r>
    <rPh sb="12" eb="14">
      <t>ホンシャ</t>
    </rPh>
    <phoneticPr fontId="11"/>
  </si>
  <si>
    <r>
      <t>{</t>
    </r>
    <r>
      <rPr>
        <sz val="11"/>
        <color rgb="FF0066FF"/>
        <rFont val="ＭＳ Ｐゴシック"/>
        <family val="3"/>
        <charset val="128"/>
        <scheme val="minor"/>
      </rPr>
      <t>14.9.128.0/17</t>
    </r>
    <r>
      <rPr>
        <sz val="11"/>
        <color theme="1"/>
        <rFont val="ＭＳ Ｐゴシック"/>
        <family val="3"/>
        <charset val="128"/>
        <scheme val="minor"/>
      </rPr>
      <t>_本社IPアドレス}</t>
    </r>
    <rPh sb="15" eb="17">
      <t>ホンシャ</t>
    </rPh>
    <phoneticPr fontId="11"/>
  </si>
  <si>
    <r>
      <t>{</t>
    </r>
    <r>
      <rPr>
        <sz val="11"/>
        <color rgb="FF0066FF"/>
        <rFont val="ＭＳ Ｐゴシック"/>
        <family val="3"/>
        <charset val="128"/>
        <scheme val="minor"/>
      </rPr>
      <t>14.8.0.0/13</t>
    </r>
    <r>
      <rPr>
        <sz val="11"/>
        <color theme="1"/>
        <rFont val="ＭＳ Ｐゴシック"/>
        <family val="3"/>
        <charset val="128"/>
        <scheme val="minor"/>
      </rPr>
      <t>_本社IPアドレス}</t>
    </r>
    <rPh sb="13" eb="15">
      <t>ホンシャ</t>
    </rPh>
    <phoneticPr fontId="11"/>
  </si>
  <si>
    <r>
      <t>{</t>
    </r>
    <r>
      <rPr>
        <sz val="11"/>
        <color rgb="FF0066FF"/>
        <rFont val="ＭＳ Ｐゴシック"/>
        <family val="3"/>
        <charset val="128"/>
        <scheme val="minor"/>
      </rPr>
      <t>8.0.0.0/5</t>
    </r>
    <r>
      <rPr>
        <sz val="11"/>
        <color theme="1"/>
        <rFont val="ＭＳ Ｐゴシック"/>
        <family val="3"/>
        <charset val="128"/>
        <scheme val="minor"/>
      </rPr>
      <t>_本社IPアドレス}</t>
    </r>
    <rPh sb="11" eb="13">
      <t>ホンシャ</t>
    </rPh>
    <phoneticPr fontId="11"/>
  </si>
  <si>
    <r>
      <t>{</t>
    </r>
    <r>
      <rPr>
        <sz val="11"/>
        <color rgb="FF0066FF"/>
        <rFont val="ＭＳ Ｐゴシック"/>
        <family val="3"/>
        <charset val="128"/>
        <scheme val="minor"/>
      </rPr>
      <t>14.9.*.*</t>
    </r>
    <r>
      <rPr>
        <sz val="11"/>
        <color theme="1"/>
        <rFont val="ＭＳ Ｐゴシック"/>
        <family val="3"/>
        <charset val="128"/>
        <scheme val="minor"/>
      </rPr>
      <t>_本社IPアドレス}</t>
    </r>
    <rPh sb="10" eb="12">
      <t>ホンシャ</t>
    </rPh>
    <phoneticPr fontId="11"/>
  </si>
  <si>
    <r>
      <t>{</t>
    </r>
    <r>
      <rPr>
        <sz val="11"/>
        <color rgb="FF0066FF"/>
        <rFont val="ＭＳ Ｐゴシック"/>
        <family val="3"/>
        <charset val="128"/>
        <scheme val="minor"/>
      </rPr>
      <t>14.*.*.*</t>
    </r>
    <r>
      <rPr>
        <sz val="11"/>
        <color theme="1"/>
        <rFont val="ＭＳ Ｐゴシック"/>
        <family val="3"/>
        <charset val="128"/>
        <scheme val="minor"/>
      </rPr>
      <t>_本社IPアドレス}</t>
    </r>
    <rPh sb="10" eb="12">
      <t>ホンシャ</t>
    </rPh>
    <phoneticPr fontId="11"/>
  </si>
  <si>
    <t>{192.168.100.1_IP1,192.168.100.2_IP2,,…,192.168.100.19_IP19,192.168.100.20_IP20,}</t>
    <phoneticPr fontId="11"/>
  </si>
  <si>
    <t>{14.9.148.98_本社IPアドレス}</t>
    <rPh sb="13" eb="15">
      <t>ホンシャ</t>
    </rPh>
    <phoneticPr fontId="11"/>
  </si>
  <si>
    <t>×</t>
    <phoneticPr fontId="11"/>
  </si>
  <si>
    <t>{192.168.100.1_IP1,192.168.100.2_IP2,,…,192.168.100.19_IP19,192.168.100.20_IP20,}
(20個のIP情報)</t>
    <rPh sb="85" eb="86">
      <t>コ</t>
    </rPh>
    <rPh sb="89" eb="91">
      <t>ジョウホウ</t>
    </rPh>
    <phoneticPr fontId="11"/>
  </si>
  <si>
    <t>{128.0.0.0/1_本社IPアドレス}</t>
    <rPh sb="13" eb="15">
      <t>ホンシャ</t>
    </rPh>
    <phoneticPr fontId="11"/>
  </si>
  <si>
    <t>{14.16.0.0/12_本社IPアドレス}</t>
    <rPh sb="14" eb="16">
      <t>ホンシャ</t>
    </rPh>
    <phoneticPr fontId="11"/>
  </si>
  <si>
    <t>{14.9.192.0/18_本社IPアドレス}</t>
    <rPh sb="15" eb="17">
      <t>ホンシャ</t>
    </rPh>
    <phoneticPr fontId="11"/>
  </si>
  <si>
    <t>{14.9.148.128/25_本社IPアドレス}</t>
    <rPh sb="17" eb="19">
      <t>ホンシャ</t>
    </rPh>
    <phoneticPr fontId="11"/>
  </si>
  <si>
    <t>{15.*.*.*_本社IPアドレス}</t>
    <rPh sb="10" eb="12">
      <t>ホンシャ</t>
    </rPh>
    <phoneticPr fontId="11"/>
  </si>
  <si>
    <t>{14.10.*.*_本社IPアドレス}</t>
    <rPh sb="11" eb="13">
      <t>ホンシャ</t>
    </rPh>
    <phoneticPr fontId="11"/>
  </si>
  <si>
    <t>{14.9.191.*_本社IPアドレス}</t>
    <rPh sb="12" eb="14">
      <t>ホンシャ</t>
    </rPh>
    <phoneticPr fontId="11"/>
  </si>
  <si>
    <t>確認内容</t>
    <rPh sb="0" eb="2">
      <t>カクニン</t>
    </rPh>
    <rPh sb="2" eb="4">
      <t>ナイヨウ</t>
    </rPh>
    <phoneticPr fontId="11"/>
  </si>
  <si>
    <t>確認内容</t>
    <rPh sb="0" eb="4">
      <t>カクニンナイヨウ</t>
    </rPh>
    <phoneticPr fontId="11"/>
  </si>
  <si>
    <t>↓「×」の場合は「このIPアドレスからのアクセスは許可されていません。」と表示され、メイン画面に遷移しない。</t>
    <rPh sb="5" eb="7">
      <t>バアイ</t>
    </rPh>
    <rPh sb="37" eb="39">
      <t>ヒョウジ</t>
    </rPh>
    <rPh sb="45" eb="47">
      <t>ガメン</t>
    </rPh>
    <rPh sb="48" eb="50">
      <t>センイ</t>
    </rPh>
    <phoneticPr fontId="11"/>
  </si>
  <si>
    <t>「確認内容」の結果となることを確認する。</t>
    <phoneticPr fontId="7"/>
  </si>
  <si>
    <t>高</t>
  </si>
  <si>
    <t>バージョンチェック</t>
    <phoneticPr fontId="7"/>
  </si>
  <si>
    <t>　■ヒアーズミーログイン画面(結合試験環境)</t>
    <rPh sb="12" eb="14">
      <t>ガメン</t>
    </rPh>
    <rPh sb="15" eb="17">
      <t>ケツゴウ</t>
    </rPh>
    <rPh sb="17" eb="19">
      <t>シケン</t>
    </rPh>
    <rPh sb="19" eb="21">
      <t>カンキョウ</t>
    </rPh>
    <phoneticPr fontId="2"/>
  </si>
  <si>
    <t>ヒアーズミー(ver2.7)</t>
    <phoneticPr fontId="2"/>
  </si>
  <si>
    <t>① ヒアーズミーのログイン画面にアクセスし、ログインアカウント入力フォームの下部に表示されるバージョンが「試験条件」欄となっていることを確認する。
② 任意のアカウントでログインする。</t>
    <rPh sb="13" eb="15">
      <t>ガメン</t>
    </rPh>
    <rPh sb="31" eb="33">
      <t>ニュウリョク</t>
    </rPh>
    <rPh sb="38" eb="40">
      <t>カブ</t>
    </rPh>
    <rPh sb="41" eb="43">
      <t>ヒョウジ</t>
    </rPh>
    <rPh sb="53" eb="57">
      <t>シケンジョウケン</t>
    </rPh>
    <rPh sb="58" eb="59">
      <t>ラン</t>
    </rPh>
    <rPh sb="68" eb="70">
      <t>カクニン</t>
    </rPh>
    <rPh sb="76" eb="78">
      <t>ニンイ</t>
    </rPh>
    <phoneticPr fontId="7"/>
  </si>
  <si>
    <t>メイン画面に遷移することを確認する。</t>
    <rPh sb="3" eb="5">
      <t>ガメン</t>
    </rPh>
    <rPh sb="6" eb="8">
      <t>センイ</t>
    </rPh>
    <rPh sb="13" eb="15">
      <t>カクニン</t>
    </rPh>
    <phoneticPr fontId="7"/>
  </si>
  <si>
    <t>&lt;PCブラウザ&gt;
クライアントバージョン：2.7
サーババージョン：2.7</t>
    <phoneticPr fontId="7"/>
  </si>
  <si>
    <t>&lt;PCブラウザ&gt;
クライアントバージョン：2.6.3
サーババージョン：2.7</t>
    <phoneticPr fontId="7"/>
  </si>
  <si>
    <t>&lt;PCブラウザ&gt;
クライアントバージョン：2.6.2
サーババージョン：2.7</t>
    <phoneticPr fontId="7"/>
  </si>
  <si>
    <t>バージョンエラーのメッセージが表示され、メイン画面に遷移しないことを確認する。</t>
    <rPh sb="15" eb="17">
      <t>ヒョウジ</t>
    </rPh>
    <rPh sb="23" eb="25">
      <t>ガメン</t>
    </rPh>
    <rPh sb="26" eb="28">
      <t>センイ</t>
    </rPh>
    <rPh sb="34" eb="36">
      <t>カクニン</t>
    </rPh>
    <phoneticPr fontId="7"/>
  </si>
  <si>
    <t>① ヒアーズミーアプリを起動し、ログインアカウント入力フォームの下部に表示されるバージョンが「試験条件」欄となっていることを確認する。
② 任意のアカウントでログインする。</t>
    <rPh sb="12" eb="14">
      <t>キドウ</t>
    </rPh>
    <rPh sb="25" eb="27">
      <t>ニュウリョク</t>
    </rPh>
    <rPh sb="32" eb="34">
      <t>カブ</t>
    </rPh>
    <rPh sb="35" eb="37">
      <t>ヒョウジ</t>
    </rPh>
    <rPh sb="47" eb="51">
      <t>シケンジョウケン</t>
    </rPh>
    <rPh sb="52" eb="53">
      <t>ラン</t>
    </rPh>
    <rPh sb="62" eb="64">
      <t>カクニン</t>
    </rPh>
    <rPh sb="70" eb="72">
      <t>ニンイ</t>
    </rPh>
    <phoneticPr fontId="7"/>
  </si>
  <si>
    <t>メイン画面に遷移すること。</t>
    <rPh sb="3" eb="5">
      <t>ガメン</t>
    </rPh>
    <rPh sb="6" eb="8">
      <t>センイ</t>
    </rPh>
    <phoneticPr fontId="7"/>
  </si>
  <si>
    <t>エラーメッセージが表示され、メイン画面に遷移しないこと。
（メッセージからIP制限でエラーとなって事が分かるかどうか確認する）</t>
    <rPh sb="9" eb="11">
      <t>ヒョウジ</t>
    </rPh>
    <rPh sb="17" eb="19">
      <t>ガメン</t>
    </rPh>
    <rPh sb="20" eb="22">
      <t>センイ</t>
    </rPh>
    <rPh sb="39" eb="41">
      <t>セイゲン</t>
    </rPh>
    <rPh sb="49" eb="50">
      <t>コト</t>
    </rPh>
    <rPh sb="51" eb="52">
      <t>ワ</t>
    </rPh>
    <rPh sb="58" eb="60">
      <t>カクニン</t>
    </rPh>
    <phoneticPr fontId="7"/>
  </si>
  <si>
    <t>IP制限エラーのメッセージが表示され、メイン画面に遷移しないこと。</t>
    <rPh sb="2" eb="4">
      <t>セイゲン</t>
    </rPh>
    <rPh sb="14" eb="16">
      <t>ヒョウジ</t>
    </rPh>
    <rPh sb="22" eb="24">
      <t>ガメン</t>
    </rPh>
    <rPh sb="25" eb="27">
      <t>センイ</t>
    </rPh>
    <phoneticPr fontId="7"/>
  </si>
  <si>
    <t>&lt;Androidアプリ&gt;
クライアントバージョン：2.7
サーババージョン：2.7</t>
    <phoneticPr fontId="7"/>
  </si>
  <si>
    <t>&lt;Androidアプリ&gt;
クライアントバージョン：2.6.3
サーババージョン：2.7</t>
    <phoneticPr fontId="7"/>
  </si>
  <si>
    <t>&lt;Androidアプリ&gt;
クライアントバージョン：2.6.2
サーババージョン：2.7</t>
    <phoneticPr fontId="7"/>
  </si>
  <si>
    <t>&lt;iOSアプリ&gt;
クライアントバージョン：2.7
サーババージョン：2.7</t>
    <phoneticPr fontId="7"/>
  </si>
  <si>
    <t>&lt;iOSアプリ&gt;
クライアントバージョン：2.6.3
サーババージョン：2.7</t>
    <phoneticPr fontId="7"/>
  </si>
  <si>
    <t>&lt;iOSアプリ&gt;
クライアントバージョン：2.6.2
サーババージョン：2.7</t>
    <phoneticPr fontId="7"/>
  </si>
  <si>
    <t>ヒアーズミー(ver2.7)</t>
    <phoneticPr fontId="2"/>
  </si>
  <si>
    <t>セキュリティ画面が、「確認内容」のとおり表示されていることを確認する。</t>
    <rPh sb="6" eb="8">
      <t>ガメン</t>
    </rPh>
    <rPh sb="20" eb="22">
      <t>ヒョウジ</t>
    </rPh>
    <phoneticPr fontId="7"/>
  </si>
  <si>
    <t>「「サーバ保存」ボタンクリック後」欄の結果となることを確認する。</t>
    <rPh sb="17" eb="18">
      <t>ラン</t>
    </rPh>
    <rPh sb="19" eb="21">
      <t>ケッカ</t>
    </rPh>
    <rPh sb="27" eb="29">
      <t>カクニン</t>
    </rPh>
    <phoneticPr fontId="11"/>
  </si>
  <si>
    <t>「IP制限機能」シート
【1】表示
試験No1</t>
    <rPh sb="18" eb="20">
      <t>シケン</t>
    </rPh>
    <phoneticPr fontId="11"/>
  </si>
  <si>
    <t>「IP制限機能」シート
【1】表示
試験No2</t>
    <rPh sb="18" eb="20">
      <t>シケン</t>
    </rPh>
    <phoneticPr fontId="11"/>
  </si>
  <si>
    <t>「IP制限機能」シート
【1】表示
試験No3</t>
    <rPh sb="18" eb="20">
      <t>シケン</t>
    </rPh>
    <phoneticPr fontId="11"/>
  </si>
  <si>
    <t>「IP制限機能」シート
【1】表示
試験No4</t>
    <rPh sb="18" eb="20">
      <t>シケン</t>
    </rPh>
    <phoneticPr fontId="11"/>
  </si>
  <si>
    <t>DBが「更新後」となることを確認する。</t>
    <rPh sb="14" eb="16">
      <t>カクニン</t>
    </rPh>
    <phoneticPr fontId="11"/>
  </si>
  <si>
    <t>【4】ログイン</t>
    <phoneticPr fontId="11"/>
  </si>
  <si>
    <t>メニュー「ユーザ管理」</t>
    <rPh sb="8" eb="10">
      <t>カンリ</t>
    </rPh>
    <phoneticPr fontId="11"/>
  </si>
  <si>
    <t>メニュー「拠点」</t>
    <rPh sb="5" eb="7">
      <t>キョテン</t>
    </rPh>
    <phoneticPr fontId="11"/>
  </si>
  <si>
    <t>① ヒアーズミー管理ツールにログインする。
② 試験条件のメニューをクリックする。</t>
    <rPh sb="8" eb="10">
      <t>カンリ</t>
    </rPh>
    <rPh sb="24" eb="28">
      <t>シケンジョウケン</t>
    </rPh>
    <phoneticPr fontId="11"/>
  </si>
  <si>
    <t>メニュー「所属」</t>
    <rPh sb="5" eb="7">
      <t>ショゾク</t>
    </rPh>
    <phoneticPr fontId="11"/>
  </si>
  <si>
    <t>メニュー「役職」</t>
    <rPh sb="5" eb="7">
      <t>ヤクショク</t>
    </rPh>
    <phoneticPr fontId="11"/>
  </si>
  <si>
    <t>メニュー「行先」</t>
    <rPh sb="5" eb="7">
      <t>イキサキ</t>
    </rPh>
    <phoneticPr fontId="11"/>
  </si>
  <si>
    <t>メニュー「状態」</t>
    <rPh sb="5" eb="7">
      <t>ジョウタイ</t>
    </rPh>
    <phoneticPr fontId="11"/>
  </si>
  <si>
    <t>メニュー「勤怠データ」</t>
    <rPh sb="5" eb="7">
      <t>キンタイ</t>
    </rPh>
    <phoneticPr fontId="11"/>
  </si>
  <si>
    <t>メニュー「セキュリティ」</t>
    <phoneticPr fontId="11"/>
  </si>
  <si>
    <t>メニュー「管理アカウント」</t>
    <rPh sb="5" eb="7">
      <t>カンリ</t>
    </rPh>
    <phoneticPr fontId="11"/>
  </si>
  <si>
    <t>試験条件の画面が表示され、メニュー見出し「設定」の中に「セキュリティ」が存在していることを確認する。</t>
    <rPh sb="0" eb="2">
      <t>シケン</t>
    </rPh>
    <rPh sb="2" eb="4">
      <t>ジョウケン</t>
    </rPh>
    <rPh sb="5" eb="7">
      <t>ガメン</t>
    </rPh>
    <rPh sb="8" eb="10">
      <t>ヒョウジ</t>
    </rPh>
    <rPh sb="17" eb="19">
      <t>ミダ</t>
    </rPh>
    <rPh sb="21" eb="23">
      <t>セッテイ</t>
    </rPh>
    <rPh sb="25" eb="26">
      <t>ナカ</t>
    </rPh>
    <rPh sb="36" eb="38">
      <t>ソンザイ</t>
    </rPh>
    <rPh sb="45" eb="47">
      <t>カクニン</t>
    </rPh>
    <phoneticPr fontId="11"/>
  </si>
  <si>
    <t>メニュー「導入手順書」</t>
    <rPh sb="5" eb="10">
      <t>ドウニュウテジュンショ</t>
    </rPh>
    <phoneticPr fontId="11"/>
  </si>
  <si>
    <t>導入手順書をダウンロードできることを確認する。</t>
    <rPh sb="0" eb="5">
      <t>ドウニュウテジュンショ</t>
    </rPh>
    <rPh sb="18" eb="20">
      <t>カクニン</t>
    </rPh>
    <phoneticPr fontId="11"/>
  </si>
  <si>
    <t>メニュー</t>
    <phoneticPr fontId="7"/>
  </si>
  <si>
    <t>「セキュリティ」画面 表示・操作</t>
    <rPh sb="8" eb="10">
      <t>ガメン</t>
    </rPh>
    <rPh sb="11" eb="13">
      <t>ヒョウジ</t>
    </rPh>
    <rPh sb="14" eb="16">
      <t>ソウサ</t>
    </rPh>
    <phoneticPr fontId="7"/>
  </si>
  <si>
    <t>リクエスト元IPアドレス表示</t>
    <rPh sb="5" eb="6">
      <t>モト</t>
    </rPh>
    <rPh sb="12" eb="14">
      <t>ヒョウジ</t>
    </rPh>
    <phoneticPr fontId="11"/>
  </si>
  <si>
    <t>① ヒアーズミー管理ツールの「セキュリティ」画面を開く。</t>
    <phoneticPr fontId="11"/>
  </si>
  <si>
    <t>見出し「IPアドレス制限」の右側に、リクエスト元IPアドレスが表示されていることを確認する。
※リクエスト元IPアドレスは以下のページで確認
https://www.cman.jp/network/support/go_access.cgi</t>
    <rPh sb="0" eb="2">
      <t>ミダ</t>
    </rPh>
    <rPh sb="10" eb="12">
      <t>セイゲン</t>
    </rPh>
    <rPh sb="14" eb="16">
      <t>ミギガワ</t>
    </rPh>
    <rPh sb="23" eb="24">
      <t>モト</t>
    </rPh>
    <rPh sb="31" eb="33">
      <t>ヒョウジ</t>
    </rPh>
    <rPh sb="41" eb="43">
      <t>カクニン</t>
    </rPh>
    <rPh sb="53" eb="54">
      <t>モト</t>
    </rPh>
    <rPh sb="61" eb="63">
      <t>イカ</t>
    </rPh>
    <rPh sb="68" eb="70">
      <t>カクニン</t>
    </rPh>
    <phoneticPr fontId="11"/>
  </si>
  <si>
    <t>「ヒアーズミーにアクセスするIPアドレスを制限」チェックボックス操作</t>
    <rPh sb="21" eb="23">
      <t>セイゲン</t>
    </rPh>
    <phoneticPr fontId="11"/>
  </si>
  <si>
    <t>① ヒアーズミー管理ツールの「セキュリティ」画面を開く。
② 「ヒアーズミーにアクセスするIPアドレスを制限」チェックボックスのON/OFFを切り替える。</t>
    <rPh sb="52" eb="54">
      <t>セイゲン</t>
    </rPh>
    <rPh sb="71" eb="72">
      <t>キ</t>
    </rPh>
    <rPh sb="73" eb="74">
      <t>カ</t>
    </rPh>
    <phoneticPr fontId="11"/>
  </si>
  <si>
    <t>チェックボックスをONにすると、「許可するIPアドレス」入力フォームが入力可能となり、OFFにすると入力フォームが入力不可（グレー）になることを確認。</t>
    <rPh sb="17" eb="19">
      <t>キョカ</t>
    </rPh>
    <rPh sb="28" eb="30">
      <t>ニュウリョク</t>
    </rPh>
    <rPh sb="35" eb="39">
      <t>ニュウリョクカノウ</t>
    </rPh>
    <rPh sb="50" eb="52">
      <t>ニュウリョク</t>
    </rPh>
    <rPh sb="57" eb="61">
      <t>ニュウリョクフカ</t>
    </rPh>
    <rPh sb="72" eb="74">
      <t>カクニン</t>
    </rPh>
    <phoneticPr fontId="11"/>
  </si>
  <si>
    <t>① ヒアーズミー管理ツールの「セキュリティ」画面を開く。
② 「許可するIPアドレスリスト」で、IPアドレス・名称が入力されている行の×ボタンをクリックする。</t>
    <rPh sb="32" eb="34">
      <t>キョカ</t>
    </rPh>
    <rPh sb="55" eb="57">
      <t>メイショウ</t>
    </rPh>
    <rPh sb="58" eb="60">
      <t>ニュウリョク</t>
    </rPh>
    <rPh sb="65" eb="66">
      <t>ギョウ</t>
    </rPh>
    <phoneticPr fontId="11"/>
  </si>
  <si>
    <t>×ボタンをクリックした行のIPアドレス・名称欄がクリアされることを確認。</t>
    <rPh sb="11" eb="12">
      <t>ギョウ</t>
    </rPh>
    <rPh sb="20" eb="23">
      <t>メイショウラン</t>
    </rPh>
    <rPh sb="33" eb="35">
      <t>カクニン</t>
    </rPh>
    <phoneticPr fontId="11"/>
  </si>
  <si>
    <t>① ヒアーズミー管理ツールの「セキュリティ」画面を開く。
② 「許可するIPアドレスリスト」で、IPアドレスのみが入力されている行の×ボタンをクリックする。</t>
    <rPh sb="32" eb="34">
      <t>キョカ</t>
    </rPh>
    <rPh sb="57" eb="59">
      <t>ニュウリョク</t>
    </rPh>
    <rPh sb="64" eb="65">
      <t>ギョウ</t>
    </rPh>
    <phoneticPr fontId="11"/>
  </si>
  <si>
    <t>① ヒアーズミー管理ツールの「セキュリティ」画面を開く。
② 「許可するIPアドレスリスト」で、名称のみが入力されている行の×ボタンをクリックする。</t>
    <rPh sb="32" eb="34">
      <t>キョカ</t>
    </rPh>
    <rPh sb="48" eb="50">
      <t>メイショウ</t>
    </rPh>
    <rPh sb="53" eb="55">
      <t>ニュウリョク</t>
    </rPh>
    <rPh sb="60" eb="61">
      <t>ギョウ</t>
    </rPh>
    <phoneticPr fontId="11"/>
  </si>
  <si>
    <t>「許可するIPアドレス」リスト
×ボタン操作</t>
    <rPh sb="1" eb="3">
      <t>キョカ</t>
    </rPh>
    <rPh sb="20" eb="22">
      <t>ソウサ</t>
    </rPh>
    <phoneticPr fontId="11"/>
  </si>
  <si>
    <t>(＋ボタンで空行を追加)</t>
    <rPh sb="6" eb="8">
      <t>カラギョウ</t>
    </rPh>
    <rPh sb="9" eb="11">
      <t>ツイカ</t>
    </rPh>
    <phoneticPr fontId="11"/>
  </si>
  <si>
    <t>・
・
(全部で20行になるように追加。すべて空)</t>
    <rPh sb="5" eb="7">
      <t>ゼンブ</t>
    </rPh>
    <rPh sb="10" eb="11">
      <t>ギョウ</t>
    </rPh>
    <rPh sb="17" eb="19">
      <t>ツイカ</t>
    </rPh>
    <rPh sb="23" eb="24">
      <t>カラ</t>
    </rPh>
    <phoneticPr fontId="11"/>
  </si>
  <si>
    <t>① ヒアーズミー管理ツールの「セキュリティ」画面を開く。
② 「許可するIPアドレスリスト」が19個以下の状態で「＋」(追加)ボタンを１回クリックする。</t>
    <rPh sb="32" eb="34">
      <t>キョカ</t>
    </rPh>
    <rPh sb="49" eb="50">
      <t>コ</t>
    </rPh>
    <rPh sb="50" eb="52">
      <t>イカ</t>
    </rPh>
    <rPh sb="53" eb="55">
      <t>ジョウタイ</t>
    </rPh>
    <rPh sb="60" eb="62">
      <t>ツイカ</t>
    </rPh>
    <rPh sb="68" eb="69">
      <t>カイ</t>
    </rPh>
    <phoneticPr fontId="11"/>
  </si>
  <si>
    <t>リストの最後尾に空き行が１行追加されることを確認。
行頭の番号は、追加前の最後尾の番号＋１であること。</t>
    <rPh sb="4" eb="7">
      <t>サイコウビ</t>
    </rPh>
    <rPh sb="8" eb="9">
      <t>ア</t>
    </rPh>
    <rPh sb="10" eb="11">
      <t>ギョウ</t>
    </rPh>
    <rPh sb="13" eb="14">
      <t>ギョウ</t>
    </rPh>
    <rPh sb="14" eb="16">
      <t>ツイカ</t>
    </rPh>
    <rPh sb="22" eb="24">
      <t>カクニン</t>
    </rPh>
    <rPh sb="26" eb="28">
      <t>ギョウトウ</t>
    </rPh>
    <rPh sb="29" eb="31">
      <t>バンゴウ</t>
    </rPh>
    <rPh sb="33" eb="36">
      <t>ツイカマエ</t>
    </rPh>
    <rPh sb="37" eb="40">
      <t>サイコウビ</t>
    </rPh>
    <rPh sb="41" eb="43">
      <t>バンゴウ</t>
    </rPh>
    <phoneticPr fontId="11"/>
  </si>
  <si>
    <t>① ヒアーズミー管理ツールの「セキュリティ」画面を開く。
② 「許可するIPアドレスリスト」が20個の状態で「＋」(追加)ボタンを１回クリックする。</t>
    <rPh sb="32" eb="34">
      <t>キョカ</t>
    </rPh>
    <rPh sb="49" eb="50">
      <t>コ</t>
    </rPh>
    <rPh sb="51" eb="53">
      <t>ジョウタイ</t>
    </rPh>
    <rPh sb="58" eb="60">
      <t>ツイカ</t>
    </rPh>
    <rPh sb="66" eb="67">
      <t>カイ</t>
    </rPh>
    <phoneticPr fontId="11"/>
  </si>
  <si>
    <t>「許可するIPアドレス」リスト
「＋」(追加)ボタン操作
（IP設定可能数：20）</t>
    <rPh sb="26" eb="28">
      <t>ソウサ</t>
    </rPh>
    <phoneticPr fontId="11"/>
  </si>
  <si>
    <t>行追加できない旨のメッセージが表示され、リストの最後尾に空き行が追加されないことを確認。</t>
    <rPh sb="0" eb="3">
      <t>ギョウツイカ</t>
    </rPh>
    <rPh sb="7" eb="8">
      <t>ムネ</t>
    </rPh>
    <rPh sb="15" eb="17">
      <t>ヒョウジ</t>
    </rPh>
    <rPh sb="24" eb="27">
      <t>サイコウビ</t>
    </rPh>
    <rPh sb="28" eb="29">
      <t>ア</t>
    </rPh>
    <rPh sb="30" eb="31">
      <t>ギョウ</t>
    </rPh>
    <rPh sb="32" eb="34">
      <t>ツイカ</t>
    </rPh>
    <rPh sb="41" eb="43">
      <t>カクニン</t>
    </rPh>
    <phoneticPr fontId="11"/>
  </si>
  <si>
    <t>サーバ保存確認ダイアログ</t>
    <rPh sb="3" eb="5">
      <t>ホゾン</t>
    </rPh>
    <rPh sb="5" eb="7">
      <t>カクニン</t>
    </rPh>
    <phoneticPr fontId="11"/>
  </si>
  <si>
    <t>① ヒアーズミー管理ツールの「セキュリティ」画面を開く。
② 「許可するIPアドレス」をエラーにならないように変更し、「サーバ保存」ボタンをクリックする。</t>
    <rPh sb="32" eb="34">
      <t>キョカ</t>
    </rPh>
    <rPh sb="55" eb="57">
      <t>ヘンコウ</t>
    </rPh>
    <rPh sb="63" eb="65">
      <t>ホゾン</t>
    </rPh>
    <phoneticPr fontId="11"/>
  </si>
  <si>
    <t>サーバ保存確認ダイアログが閉じることを確認。
DBに変更がないことを確認。</t>
    <rPh sb="3" eb="7">
      <t>ホゾンカクニン</t>
    </rPh>
    <rPh sb="13" eb="14">
      <t>ト</t>
    </rPh>
    <rPh sb="19" eb="21">
      <t>カクニン</t>
    </rPh>
    <rPh sb="26" eb="28">
      <t>ヘンコウ</t>
    </rPh>
    <rPh sb="34" eb="36">
      <t>カクニン</t>
    </rPh>
    <phoneticPr fontId="11"/>
  </si>
  <si>
    <t>サーバ保存完了ダイアログ</t>
    <rPh sb="3" eb="7">
      <t>ホゾンカンリョウ</t>
    </rPh>
    <phoneticPr fontId="11"/>
  </si>
  <si>
    <t>① サーバ保存確認ダイアログを表示する。
② サーバ保存確認ダイアログの「キャンセル」ボタンをクリックする。</t>
    <rPh sb="5" eb="9">
      <t>ホゾンカクニン</t>
    </rPh>
    <rPh sb="15" eb="17">
      <t>ヒョウジ</t>
    </rPh>
    <rPh sb="26" eb="30">
      <t>ホゾンカクニン</t>
    </rPh>
    <phoneticPr fontId="11"/>
  </si>
  <si>
    <t>① サーバ保存確認ダイアログを表示する。
② サーバ保存確認ダイアログの「OK」ボタンをクリックする。</t>
    <rPh sb="26" eb="30">
      <t>ホゾンカクニン</t>
    </rPh>
    <phoneticPr fontId="11"/>
  </si>
  <si>
    <t>① サーバ保存完了ダイアログを表示する。
② サーバ保存完了ダイアログの「OK」ボタンをクリックする。</t>
    <rPh sb="7" eb="9">
      <t>カンリョウ</t>
    </rPh>
    <rPh sb="26" eb="28">
      <t>ホゾン</t>
    </rPh>
    <rPh sb="28" eb="30">
      <t>カンリョウ</t>
    </rPh>
    <phoneticPr fontId="11"/>
  </si>
  <si>
    <t>サーバ保存完了ダイアログが閉じることを確認。</t>
    <rPh sb="3" eb="7">
      <t>ホゾンカンリョウ</t>
    </rPh>
    <rPh sb="13" eb="14">
      <t>ト</t>
    </rPh>
    <rPh sb="19" eb="21">
      <t>カクニン</t>
    </rPh>
    <phoneticPr fontId="11"/>
  </si>
  <si>
    <t>接続元IPなし警告ダイアログ</t>
    <phoneticPr fontId="11"/>
  </si>
  <si>
    <t>① ヒアーズミー管理ツールの「セキュリティ」画面を開く。
② 「許可するIPアドレスリスト」にリクエスト元IPアドレスが含まれないように変更し、「サーバ保存」ボタンをクリックする。</t>
    <rPh sb="32" eb="34">
      <t>キョカ</t>
    </rPh>
    <rPh sb="52" eb="53">
      <t>モト</t>
    </rPh>
    <rPh sb="60" eb="61">
      <t>フク</t>
    </rPh>
    <rPh sb="68" eb="70">
      <t>ヘンコウ</t>
    </rPh>
    <rPh sb="76" eb="78">
      <t>ホゾン</t>
    </rPh>
    <phoneticPr fontId="11"/>
  </si>
  <si>
    <t>サーバ保存確認ダイアログが表示されることを確認。
----------
IPアドレス制限設定を保存します。よろしいですか？
※チェックを外した場合、以前設定したIPアドレスリストは削除されます。
「OK」「キャンセル」</t>
    <rPh sb="3" eb="7">
      <t>ホゾンカクニン</t>
    </rPh>
    <rPh sb="13" eb="15">
      <t>ヒョウジ</t>
    </rPh>
    <rPh sb="21" eb="23">
      <t>カクニン</t>
    </rPh>
    <rPh sb="43" eb="47">
      <t>セイゲンセッテイ</t>
    </rPh>
    <rPh sb="48" eb="50">
      <t>ホゾン</t>
    </rPh>
    <rPh sb="69" eb="70">
      <t>ハズ</t>
    </rPh>
    <rPh sb="72" eb="74">
      <t>バアイ</t>
    </rPh>
    <rPh sb="75" eb="79">
      <t>イゼンセッテイ</t>
    </rPh>
    <rPh sb="91" eb="93">
      <t>サクジョ</t>
    </rPh>
    <phoneticPr fontId="11"/>
  </si>
  <si>
    <t>サーバ保存確認ダイアログが閉じ、サーバ保存完了ダイアログが表示されることを確認。
変更内容がDBに反映されていることを確認。
----------
保存しました。
「OK」</t>
    <rPh sb="3" eb="7">
      <t>ホゾンカクニン</t>
    </rPh>
    <rPh sb="13" eb="14">
      <t>ト</t>
    </rPh>
    <rPh sb="19" eb="23">
      <t>ホゾンカンリョウ</t>
    </rPh>
    <rPh sb="29" eb="31">
      <t>ヒョウジ</t>
    </rPh>
    <rPh sb="37" eb="39">
      <t>カクニン</t>
    </rPh>
    <rPh sb="41" eb="43">
      <t>ヘンコウ</t>
    </rPh>
    <rPh sb="43" eb="45">
      <t>ナイヨウ</t>
    </rPh>
    <rPh sb="49" eb="51">
      <t>ハンエイ</t>
    </rPh>
    <rPh sb="59" eb="61">
      <t>カクニン</t>
    </rPh>
    <rPh sb="75" eb="77">
      <t>ホゾン</t>
    </rPh>
    <phoneticPr fontId="11"/>
  </si>
  <si>
    <t>接続元IPなし警告ダイアログが表示されることを確認。
----------
現在ご利用中のIPアドレスが含まれていません。
次回アクセス時にご利用中のIPアドレスからログインできなくなりますが、
このまま保存しますか？
「いいえ、修正します」「はい、このまま保存します」</t>
    <rPh sb="0" eb="3">
      <t>セツゾクモト</t>
    </rPh>
    <rPh sb="7" eb="9">
      <t>ケイコク</t>
    </rPh>
    <rPh sb="15" eb="17">
      <t>ヒョウジ</t>
    </rPh>
    <rPh sb="23" eb="25">
      <t>カクニン</t>
    </rPh>
    <phoneticPr fontId="11"/>
  </si>
  <si>
    <t>① 接続元IPなし警告ダイアログを表示する。
② 接続元IPなし警告ダイアログの「いいえ、修正します」ボタンをクリックする。</t>
    <phoneticPr fontId="11"/>
  </si>
  <si>
    <t>接続元IPなし警告ダイアログ</t>
    <phoneticPr fontId="11"/>
  </si>
  <si>
    <t>接続元IPなし警告ダイアログが閉じることを確認。
DBに変更がないことを確認。</t>
    <rPh sb="15" eb="16">
      <t>ト</t>
    </rPh>
    <rPh sb="21" eb="23">
      <t>カクニン</t>
    </rPh>
    <phoneticPr fontId="11"/>
  </si>
  <si>
    <t>① 接続元IPなし警告ダイアログを表示する。
② 接続元IPなし警告ダイアログの「はい、このまま保存します」ボタンをクリックする。
③ ヒアーズミー管理ツールのログイン画面で、①～②の操作を行ったアカウントで再ログインする。</t>
    <rPh sb="48" eb="50">
      <t>ホゾン</t>
    </rPh>
    <rPh sb="75" eb="77">
      <t>カンリ</t>
    </rPh>
    <rPh sb="85" eb="87">
      <t>ガメン</t>
    </rPh>
    <rPh sb="93" eb="95">
      <t>ソウサ</t>
    </rPh>
    <rPh sb="96" eb="97">
      <t>オコナ</t>
    </rPh>
    <rPh sb="105" eb="106">
      <t>サイ</t>
    </rPh>
    <phoneticPr fontId="11"/>
  </si>
  <si>
    <t>②実施後、サーバ保存完了ダイアログが表示されることを確認。
変更内容がDBに反映されていることを確認。
③実施後、IPエラーのメッセージが表示され、メイン画面に遷移しないことを確認。</t>
    <rPh sb="1" eb="4">
      <t>ジッシゴ</t>
    </rPh>
    <rPh sb="8" eb="12">
      <t>ホゾンカンリョウ</t>
    </rPh>
    <rPh sb="18" eb="20">
      <t>ヒョウジ</t>
    </rPh>
    <rPh sb="26" eb="28">
      <t>カクニン</t>
    </rPh>
    <rPh sb="54" eb="57">
      <t>ジッシゴ</t>
    </rPh>
    <rPh sb="70" eb="72">
      <t>ヒョウジ</t>
    </rPh>
    <rPh sb="78" eb="80">
      <t>ガメン</t>
    </rPh>
    <rPh sb="81" eb="83">
      <t>センイ</t>
    </rPh>
    <rPh sb="89" eb="91">
      <t>カクニン</t>
    </rPh>
    <phoneticPr fontId="11"/>
  </si>
  <si>
    <t>変更を保存せず別画面へ</t>
    <rPh sb="0" eb="2">
      <t>ヘンコウ</t>
    </rPh>
    <rPh sb="3" eb="5">
      <t>ホゾン</t>
    </rPh>
    <rPh sb="7" eb="8">
      <t>ベツ</t>
    </rPh>
    <rPh sb="8" eb="10">
      <t>ガメン</t>
    </rPh>
    <phoneticPr fontId="11"/>
  </si>
  <si>
    <t>① ヒアーズミー管理ツールの「セキュリティ」画面を開く。
② 設定内容を任意で変更し、サーバ保存しないまま別画面のメニューをクリックする。</t>
    <rPh sb="31" eb="35">
      <t>セッテイナイヨウ</t>
    </rPh>
    <rPh sb="36" eb="38">
      <t>ニンイ</t>
    </rPh>
    <rPh sb="39" eb="41">
      <t>ヘンコウ</t>
    </rPh>
    <rPh sb="46" eb="48">
      <t>ホゾン</t>
    </rPh>
    <rPh sb="53" eb="56">
      <t>ベツガメン</t>
    </rPh>
    <phoneticPr fontId="11"/>
  </si>
  <si>
    <t>保存未完了のメッセージ（ブラウザのメッセージ）が表示されることを確認。</t>
    <rPh sb="0" eb="2">
      <t>ホゾン</t>
    </rPh>
    <rPh sb="2" eb="5">
      <t>ミカンリョウ</t>
    </rPh>
    <rPh sb="24" eb="26">
      <t>ヒョウジ</t>
    </rPh>
    <rPh sb="32" eb="34">
      <t>カクニン</t>
    </rPh>
    <phoneticPr fontId="11"/>
  </si>
  <si>
    <t>エラーダイアログ</t>
    <phoneticPr fontId="11"/>
  </si>
  <si>
    <t>① エラーダイアログを表示する。
② エラーダイアログの「OK」ボタンをクリックする。</t>
    <rPh sb="11" eb="13">
      <t>ヒョウジ</t>
    </rPh>
    <phoneticPr fontId="11"/>
  </si>
  <si>
    <t>エラーダイアログが閉じることを確認する。</t>
    <rPh sb="9" eb="10">
      <t>ト</t>
    </rPh>
    <rPh sb="15" eb="17">
      <t>カクニン</t>
    </rPh>
    <phoneticPr fontId="11"/>
  </si>
  <si>
    <t>サーバ結果正常以外</t>
    <rPh sb="3" eb="5">
      <t>ケッカ</t>
    </rPh>
    <rPh sb="5" eb="9">
      <t>セイジョウイガイ</t>
    </rPh>
    <phoneticPr fontId="7"/>
  </si>
  <si>
    <t>IP制限設定取得
（コマンド：REQ_SEL_IPMNG）</t>
    <rPh sb="2" eb="4">
      <t>セイゲン</t>
    </rPh>
    <rPh sb="4" eb="6">
      <t>セッテイ</t>
    </rPh>
    <rPh sb="6" eb="8">
      <t>シュトク</t>
    </rPh>
    <phoneticPr fontId="11"/>
  </si>
  <si>
    <t>① ヒアーズミー管理ツールにログイン後、サーバAPIを停止する。
② 「セキュリティ」画面を開く。</t>
    <rPh sb="8" eb="10">
      <t>カンリ</t>
    </rPh>
    <rPh sb="18" eb="19">
      <t>ゴ</t>
    </rPh>
    <rPh sb="27" eb="29">
      <t>テイシ</t>
    </rPh>
    <rPh sb="43" eb="45">
      <t>ガメン</t>
    </rPh>
    <rPh sb="46" eb="47">
      <t>ヒラ</t>
    </rPh>
    <phoneticPr fontId="11"/>
  </si>
  <si>
    <t>IPリスト保存前チェック
（コマンド：REQ_UPD_IPMNG_PRECHECK）</t>
    <rPh sb="5" eb="8">
      <t>ホゾンマエ</t>
    </rPh>
    <phoneticPr fontId="11"/>
  </si>
  <si>
    <t>接続元IPなし警告ダイアログ</t>
    <phoneticPr fontId="11"/>
  </si>
  <si>
    <t>エラーダイアログが表示されることを確認。
----------
データが見つかりませんでした。
再ログインしてください。
「OK」</t>
    <rPh sb="9" eb="11">
      <t>ヒョウジ</t>
    </rPh>
    <rPh sb="17" eb="19">
      <t>カクニン</t>
    </rPh>
    <phoneticPr fontId="11"/>
  </si>
  <si>
    <t>① ヒアーズミー管理ツールの「セキュリティ」画面を開く。
② DBテーブル「iw_ipmanagetbl」をリネームする。
③ 「サーバ保存」ボタンをクリックする。</t>
    <rPh sb="8" eb="10">
      <t>カンリ</t>
    </rPh>
    <rPh sb="22" eb="24">
      <t>ガメン</t>
    </rPh>
    <rPh sb="25" eb="26">
      <t>ヒラ</t>
    </rPh>
    <rPh sb="68" eb="70">
      <t>ホゾン</t>
    </rPh>
    <phoneticPr fontId="11"/>
  </si>
  <si>
    <t>① ヒアーズミー管理ツールの「セキュリティ」画面を開く。
② DBテーブル「iw_ipmanagetbl」のデータのうち、ログイン中の企業の「company_id」の値を変更する。
③ 「サーバ保存」ボタンをクリックする。</t>
    <rPh sb="22" eb="24">
      <t>ガメン</t>
    </rPh>
    <rPh sb="25" eb="26">
      <t>ヒラ</t>
    </rPh>
    <rPh sb="65" eb="66">
      <t>チュウ</t>
    </rPh>
    <rPh sb="67" eb="69">
      <t>キギョウ</t>
    </rPh>
    <rPh sb="83" eb="84">
      <t>アタイ</t>
    </rPh>
    <rPh sb="85" eb="87">
      <t>ヘンコウ</t>
    </rPh>
    <rPh sb="97" eb="99">
      <t>ホゾン</t>
    </rPh>
    <phoneticPr fontId="11"/>
  </si>
  <si>
    <t>① ヒアーズミー管理ツールの「セキュリティ」画面を開く。
② サーバAPIを停止する。
③ 「サーバ保存」ボタンをクリックする。</t>
    <rPh sb="38" eb="40">
      <t>テイシ</t>
    </rPh>
    <rPh sb="50" eb="52">
      <t>ホゾン</t>
    </rPh>
    <phoneticPr fontId="11"/>
  </si>
  <si>
    <t>サーバ通信エラーのアラートが表示されることを確認。
-------
サーバとの接続でエラーが発生しました
(REQ_UPD_IPMNG_PRECHECK/エラー情報)</t>
    <rPh sb="3" eb="5">
      <t>ツウシン</t>
    </rPh>
    <rPh sb="14" eb="16">
      <t>ヒョウジ</t>
    </rPh>
    <rPh sb="22" eb="24">
      <t>カクニン</t>
    </rPh>
    <rPh sb="81" eb="83">
      <t>ジョウホウ</t>
    </rPh>
    <phoneticPr fontId="11"/>
  </si>
  <si>
    <t>IP制限設定保存
（コマンド：REQ_UPD_IPMNG）</t>
    <rPh sb="2" eb="6">
      <t>セイゲンセッテイ</t>
    </rPh>
    <rPh sb="6" eb="8">
      <t>ホゾン</t>
    </rPh>
    <phoneticPr fontId="11"/>
  </si>
  <si>
    <t>① ヒアーズミー管理ツールの「セキュリティ」画面の「サーバ保存」ボタンをクリックし、サーバ保存確認ダイアログを表示する。
② DBテーブル「iw_ipmanagetbl」のデータのうち、ログイン中の企業の「company_id」の値を変更する。
③ サーバ保存確認ダイアログの「OK」ボタンをクリックする。</t>
    <rPh sb="22" eb="24">
      <t>ガメン</t>
    </rPh>
    <rPh sb="45" eb="47">
      <t>ホゾン</t>
    </rPh>
    <rPh sb="47" eb="49">
      <t>カクニン</t>
    </rPh>
    <rPh sb="55" eb="57">
      <t>ヒョウジ</t>
    </rPh>
    <rPh sb="97" eb="98">
      <t>チュウ</t>
    </rPh>
    <rPh sb="99" eb="101">
      <t>キギョウ</t>
    </rPh>
    <rPh sb="115" eb="116">
      <t>アタイ</t>
    </rPh>
    <rPh sb="117" eb="119">
      <t>ヘンコウ</t>
    </rPh>
    <rPh sb="128" eb="132">
      <t>ホゾンカクニン</t>
    </rPh>
    <phoneticPr fontId="11"/>
  </si>
  <si>
    <t>① ヒアーズミー管理ツールの「セキュリティ」画面で「サーバ保存」ボタンをクリックし、サーバ保存確認ダイアログを表示する。
② DBテーブル「iw_ipmanagetbl」のデータのうち、ログイン中の企業の「ip_max_num」の値を、①で設定した許可IPリスト数未満に変更する。
③ サーバ保存確認ダイアログの「OK」ボタンをクリックする。</t>
    <rPh sb="22" eb="24">
      <t>ガメン</t>
    </rPh>
    <rPh sb="45" eb="47">
      <t>ホゾン</t>
    </rPh>
    <rPh sb="47" eb="49">
      <t>カクニン</t>
    </rPh>
    <rPh sb="55" eb="57">
      <t>ヒョウジ</t>
    </rPh>
    <rPh sb="120" eb="122">
      <t>セッテイ</t>
    </rPh>
    <rPh sb="124" eb="126">
      <t>キョカ</t>
    </rPh>
    <rPh sb="131" eb="132">
      <t>スウ</t>
    </rPh>
    <rPh sb="132" eb="134">
      <t>ミマン</t>
    </rPh>
    <rPh sb="146" eb="150">
      <t>ホゾンカクニン</t>
    </rPh>
    <phoneticPr fontId="11"/>
  </si>
  <si>
    <t>エラーダイアログが表示されることを確認。
----------
IPアドレス設定可能数を超過するため、
保存できません。
「OK」</t>
    <rPh sb="9" eb="11">
      <t>ヒョウジ</t>
    </rPh>
    <rPh sb="17" eb="19">
      <t>カクニン</t>
    </rPh>
    <rPh sb="53" eb="55">
      <t>ホゾン</t>
    </rPh>
    <phoneticPr fontId="11"/>
  </si>
  <si>
    <t>① ヒアーズミー管理ツールの「セキュリティ」画面で「サーバ保存」ボタンをクリックし、サーバ保存確認ダイアログを表示する。
② DBテーブル「iw_ipmanagetbl」をリネームする。
③ サーバ保存確認ダイアログの「OK」ボタンをクリックする。</t>
    <rPh sb="22" eb="24">
      <t>ガメン</t>
    </rPh>
    <rPh sb="45" eb="47">
      <t>ホゾン</t>
    </rPh>
    <rPh sb="47" eb="49">
      <t>カクニン</t>
    </rPh>
    <rPh sb="55" eb="57">
      <t>ヒョウジ</t>
    </rPh>
    <rPh sb="99" eb="103">
      <t>ホゾンカクニン</t>
    </rPh>
    <phoneticPr fontId="11"/>
  </si>
  <si>
    <t>① ヒアーズミー管理ツールの「セキュリティ」画面で「サーバ保存」ボタンをクリックし、サーバ保存確認ダイアログを表示する。
② サーバAPIを停止する。
③ サーバ保存確認ダイアログの「OK」ボタンをクリックする。</t>
    <rPh sb="22" eb="24">
      <t>ガメン</t>
    </rPh>
    <rPh sb="45" eb="47">
      <t>ホゾン</t>
    </rPh>
    <rPh sb="47" eb="49">
      <t>カクニン</t>
    </rPh>
    <rPh sb="55" eb="57">
      <t>ヒョウジ</t>
    </rPh>
    <rPh sb="81" eb="85">
      <t>ホゾンカクニン</t>
    </rPh>
    <phoneticPr fontId="11"/>
  </si>
  <si>
    <t>サーバ通信エラーのアラートが表示されることを確認。
-------
サーバとの接続でエラーが発生しました
(REQ_UPD_IPMNG/エラー情報)</t>
    <rPh sb="3" eb="5">
      <t>ツウシン</t>
    </rPh>
    <rPh sb="14" eb="16">
      <t>ヒョウジ</t>
    </rPh>
    <rPh sb="22" eb="24">
      <t>カクニン</t>
    </rPh>
    <rPh sb="72" eb="74">
      <t>ジョウホウ</t>
    </rPh>
    <phoneticPr fontId="11"/>
  </si>
  <si>
    <t>サーバ処理エラーのアラートが表示されることを確認。
-------
サーバ処理でエラーが発生しました。
(REQ_UPD_IPMNG/エラーコード)</t>
    <rPh sb="3" eb="5">
      <t>ショリ</t>
    </rPh>
    <rPh sb="14" eb="16">
      <t>ヒョウジ</t>
    </rPh>
    <rPh sb="22" eb="24">
      <t>カクニン</t>
    </rPh>
    <phoneticPr fontId="11"/>
  </si>
  <si>
    <t>試験条件の画面が表示され、メニュー見出し「ユーザ管理」の中に「一括登録」が存在していることを確認する。</t>
    <rPh sb="0" eb="2">
      <t>シケン</t>
    </rPh>
    <rPh sb="2" eb="4">
      <t>ジョウケン</t>
    </rPh>
    <rPh sb="5" eb="7">
      <t>ガメン</t>
    </rPh>
    <rPh sb="8" eb="10">
      <t>ヒョウジ</t>
    </rPh>
    <rPh sb="17" eb="19">
      <t>ミダ</t>
    </rPh>
    <rPh sb="24" eb="26">
      <t>カンリ</t>
    </rPh>
    <rPh sb="28" eb="29">
      <t>ナカ</t>
    </rPh>
    <rPh sb="31" eb="35">
      <t>イッカツトウロク</t>
    </rPh>
    <rPh sb="37" eb="39">
      <t>ソンザイ</t>
    </rPh>
    <rPh sb="46" eb="48">
      <t>カクニン</t>
    </rPh>
    <phoneticPr fontId="11"/>
  </si>
  <si>
    <t>メニュー「一括登録」</t>
    <rPh sb="5" eb="9">
      <t>イッカツトウロク</t>
    </rPh>
    <phoneticPr fontId="11"/>
  </si>
  <si>
    <t>「一括登録」画面 表示・操作</t>
    <rPh sb="1" eb="5">
      <t>イッカツトウロク</t>
    </rPh>
    <rPh sb="6" eb="8">
      <t>ガメン</t>
    </rPh>
    <rPh sb="9" eb="11">
      <t>ヒョウジ</t>
    </rPh>
    <rPh sb="12" eb="14">
      <t>ソウサ</t>
    </rPh>
    <phoneticPr fontId="7"/>
  </si>
  <si>
    <t>「結果」欄となることを確認する。</t>
    <rPh sb="1" eb="3">
      <t>ケッカ</t>
    </rPh>
    <rPh sb="4" eb="5">
      <t>ラン</t>
    </rPh>
    <rPh sb="11" eb="13">
      <t>カクニン</t>
    </rPh>
    <phoneticPr fontId="11"/>
  </si>
  <si>
    <t>「チェック結果」欄の結果となることを確認する。</t>
    <rPh sb="8" eb="9">
      <t>ラン</t>
    </rPh>
    <rPh sb="10" eb="12">
      <t>ケッカ</t>
    </rPh>
    <rPh sb="18" eb="20">
      <t>カクニン</t>
    </rPh>
    <phoneticPr fontId="11"/>
  </si>
  <si>
    <t>【3】一括登録</t>
    <rPh sb="3" eb="7">
      <t>イッカツトウロク</t>
    </rPh>
    <phoneticPr fontId="11"/>
  </si>
  <si>
    <t>DBが「一括登録後 DB」となることを確認する。</t>
    <rPh sb="19" eb="21">
      <t>カクニン</t>
    </rPh>
    <phoneticPr fontId="11"/>
  </si>
  <si>
    <t>ファイル再選択</t>
    <rPh sb="4" eb="7">
      <t>サイセンタク</t>
    </rPh>
    <phoneticPr fontId="11"/>
  </si>
  <si>
    <t>① ヒアーズミー管理ツールの「一括登録」」画面を開く。
② 設定内容を任意で変更し、サーバ保存しないまま別画面のメニューをクリックする。</t>
    <rPh sb="15" eb="19">
      <t>イッカツトウロク</t>
    </rPh>
    <rPh sb="30" eb="34">
      <t>セッテイナイヨウ</t>
    </rPh>
    <rPh sb="35" eb="37">
      <t>ニンイ</t>
    </rPh>
    <rPh sb="38" eb="40">
      <t>ヘンコウ</t>
    </rPh>
    <rPh sb="45" eb="47">
      <t>ホゾン</t>
    </rPh>
    <rPh sb="52" eb="55">
      <t>ベツガメン</t>
    </rPh>
    <phoneticPr fontId="11"/>
  </si>
  <si>
    <t>① ヒアーズミー管理ツールの「一括登録」画面を開く。
② 任意のcsvファイルを選択して「チェック開始」を実行する。
③ チェック結果が表示された後、ファイル名、内容ともに異なるcsvファイルを選択して、再度「チェック開始」を実行する。</t>
    <rPh sb="8" eb="10">
      <t>カンリ</t>
    </rPh>
    <rPh sb="15" eb="17">
      <t>イッカツ</t>
    </rPh>
    <rPh sb="17" eb="19">
      <t>トウロク</t>
    </rPh>
    <rPh sb="20" eb="22">
      <t>ガメン</t>
    </rPh>
    <rPh sb="23" eb="24">
      <t>ヒラ</t>
    </rPh>
    <rPh sb="29" eb="31">
      <t>ニンイ</t>
    </rPh>
    <rPh sb="40" eb="42">
      <t>センタク</t>
    </rPh>
    <rPh sb="49" eb="51">
      <t>カイシ</t>
    </rPh>
    <rPh sb="53" eb="55">
      <t>ジッコウ</t>
    </rPh>
    <rPh sb="65" eb="67">
      <t>ケッカ</t>
    </rPh>
    <rPh sb="68" eb="70">
      <t>ヒョウジ</t>
    </rPh>
    <rPh sb="73" eb="74">
      <t>アト</t>
    </rPh>
    <rPh sb="79" eb="80">
      <t>メイ</t>
    </rPh>
    <rPh sb="81" eb="83">
      <t>ナイヨウ</t>
    </rPh>
    <rPh sb="86" eb="87">
      <t>コト</t>
    </rPh>
    <rPh sb="97" eb="99">
      <t>センタク</t>
    </rPh>
    <rPh sb="102" eb="104">
      <t>サイド</t>
    </rPh>
    <rPh sb="109" eb="111">
      <t>カイシ</t>
    </rPh>
    <rPh sb="113" eb="115">
      <t>ジッコウ</t>
    </rPh>
    <phoneticPr fontId="11"/>
  </si>
  <si>
    <t>③で選択したファイルの内容でチェックが実行されることを確認する。</t>
    <rPh sb="2" eb="4">
      <t>センタク</t>
    </rPh>
    <rPh sb="11" eb="13">
      <t>ナイヨウ</t>
    </rPh>
    <rPh sb="19" eb="21">
      <t>ジッコウ</t>
    </rPh>
    <rPh sb="27" eb="29">
      <t>カクニン</t>
    </rPh>
    <phoneticPr fontId="11"/>
  </si>
  <si>
    <t>① ヒアーズミー管理ツールの「一括登録」画面を開く。
② 任意のcsvファイルを選択して「チェック開始」を実行する。
③ チェック結果が表示された後、ファイル名は②と同一で、内容が異なるcsvファイルを選択して、再度「チェック開始」を実行する。</t>
    <rPh sb="8" eb="10">
      <t>カンリ</t>
    </rPh>
    <rPh sb="15" eb="17">
      <t>イッカツ</t>
    </rPh>
    <rPh sb="17" eb="19">
      <t>トウロク</t>
    </rPh>
    <rPh sb="20" eb="22">
      <t>ガメン</t>
    </rPh>
    <rPh sb="23" eb="24">
      <t>ヒラ</t>
    </rPh>
    <rPh sb="29" eb="31">
      <t>ニンイ</t>
    </rPh>
    <rPh sb="40" eb="42">
      <t>センタク</t>
    </rPh>
    <rPh sb="49" eb="51">
      <t>カイシ</t>
    </rPh>
    <rPh sb="53" eb="55">
      <t>ジッコウ</t>
    </rPh>
    <rPh sb="65" eb="67">
      <t>ケッカ</t>
    </rPh>
    <rPh sb="68" eb="70">
      <t>ヒョウジ</t>
    </rPh>
    <rPh sb="73" eb="74">
      <t>アト</t>
    </rPh>
    <rPh sb="79" eb="80">
      <t>メイ</t>
    </rPh>
    <rPh sb="83" eb="85">
      <t>ドウイツ</t>
    </rPh>
    <rPh sb="87" eb="89">
      <t>ナイヨウ</t>
    </rPh>
    <rPh sb="90" eb="91">
      <t>コト</t>
    </rPh>
    <rPh sb="101" eb="103">
      <t>センタク</t>
    </rPh>
    <rPh sb="106" eb="108">
      <t>サイド</t>
    </rPh>
    <rPh sb="113" eb="115">
      <t>カイシ</t>
    </rPh>
    <rPh sb="117" eb="119">
      <t>ジッコウ</t>
    </rPh>
    <phoneticPr fontId="11"/>
  </si>
  <si>
    <t>チェック開始確認ダイアログ</t>
    <phoneticPr fontId="11"/>
  </si>
  <si>
    <t>チェック開始確認ダイアログが表示されることを確認。
----------
インポートするCSVファイルのチェックを開始します。よろしいですか？
「OK」「キャンセル」</t>
    <rPh sb="4" eb="6">
      <t>カイシ</t>
    </rPh>
    <phoneticPr fontId="11"/>
  </si>
  <si>
    <t>チェック開始確認ダイアログが閉じ、チェック完了ダイアログが表示されることを確認。
----------
CSVファイルのチェックが完了しました。
入力エラーのデータがあります。
csvファイルを修正して再度チェックを実施してください。
「OK」</t>
    <rPh sb="4" eb="6">
      <t>カイシ</t>
    </rPh>
    <rPh sb="6" eb="8">
      <t>カクニン</t>
    </rPh>
    <rPh sb="14" eb="15">
      <t>ト</t>
    </rPh>
    <rPh sb="21" eb="23">
      <t>カンリョウ</t>
    </rPh>
    <rPh sb="29" eb="31">
      <t>ヒョウジ</t>
    </rPh>
    <rPh sb="37" eb="39">
      <t>カクニン</t>
    </rPh>
    <rPh sb="66" eb="68">
      <t>カンリョウ</t>
    </rPh>
    <phoneticPr fontId="11"/>
  </si>
  <si>
    <t>① ヒアーズミー管理ツールの「一括登録」画面を開く。
② 要確認を含むcsvファイルを選択して「チェック開始」をクリックしてチェック開始確認ダイアログを開く。
③ チェック開始確認ダイアログの「OK」ボタンをクリックする。</t>
    <rPh sb="29" eb="32">
      <t>ヨウカクニン</t>
    </rPh>
    <rPh sb="33" eb="34">
      <t>フク</t>
    </rPh>
    <rPh sb="66" eb="70">
      <t>カイシカクニン</t>
    </rPh>
    <rPh sb="76" eb="77">
      <t>ヒラ</t>
    </rPh>
    <phoneticPr fontId="11"/>
  </si>
  <si>
    <t>① ヒアーズミー管理ツールの「一括登録」画面を開く。
② エラーを含むcsvファイルを選択して「チェック開始」をクリックしてチェック開始確認ダイアログを開く。
③ チェック開始確認ダイアログの「OK」ボタンをクリックする。</t>
    <rPh sb="33" eb="34">
      <t>フク</t>
    </rPh>
    <rPh sb="66" eb="70">
      <t>カイシカクニン</t>
    </rPh>
    <rPh sb="76" eb="77">
      <t>ヒラ</t>
    </rPh>
    <phoneticPr fontId="11"/>
  </si>
  <si>
    <t>チェック完了ダイアログ</t>
    <rPh sb="4" eb="6">
      <t>カンリョウ</t>
    </rPh>
    <phoneticPr fontId="11"/>
  </si>
  <si>
    <t>チェック完了ダイアログ
（エラー含む）</t>
    <rPh sb="4" eb="6">
      <t>カンリョウ</t>
    </rPh>
    <rPh sb="16" eb="17">
      <t>フク</t>
    </rPh>
    <phoneticPr fontId="11"/>
  </si>
  <si>
    <t>チェック完了ダイアログ
（要確認含む）</t>
    <rPh sb="4" eb="6">
      <t>カンリョウ</t>
    </rPh>
    <rPh sb="13" eb="16">
      <t>ヨウカクニン</t>
    </rPh>
    <rPh sb="16" eb="17">
      <t>フク</t>
    </rPh>
    <phoneticPr fontId="11"/>
  </si>
  <si>
    <t>① チェック完了ダイアログを開く。
② チェック完了ダイアログの「OK」ボタンをクリックする。</t>
    <rPh sb="6" eb="8">
      <t>カンリョウ</t>
    </rPh>
    <rPh sb="24" eb="26">
      <t>カンリョウ</t>
    </rPh>
    <phoneticPr fontId="11"/>
  </si>
  <si>
    <t>チェック完了ダイアログが閉じることを確認。</t>
    <rPh sb="4" eb="6">
      <t>カンリョウ</t>
    </rPh>
    <rPh sb="12" eb="13">
      <t>ト</t>
    </rPh>
    <rPh sb="18" eb="20">
      <t>カクニン</t>
    </rPh>
    <phoneticPr fontId="11"/>
  </si>
  <si>
    <t>① ヒアーズミー管理ツールの「一括登録」画面を開く。
② 任意のcsvファイルを選択して「チェック開始」をクリックする。</t>
    <phoneticPr fontId="11"/>
  </si>
  <si>
    <t>① ヒアーズミー管理ツールの「一括登録」画面を開く。
② 任意のcsvファイルを選択して「チェック開始」をクリックする。
③ チェック開始確認ダイアログの「キャンセル」ボタンをクリックする。</t>
    <rPh sb="67" eb="71">
      <t>カイシカクニン</t>
    </rPh>
    <phoneticPr fontId="11"/>
  </si>
  <si>
    <t>チェック開始確認ダイアログが閉じることを確認。
チェック結果表が表示されないことを確認。</t>
    <rPh sb="4" eb="6">
      <t>カイシ</t>
    </rPh>
    <rPh sb="14" eb="15">
      <t>ト</t>
    </rPh>
    <rPh sb="20" eb="22">
      <t>カクニン</t>
    </rPh>
    <rPh sb="28" eb="31">
      <t>ケッカヒョウ</t>
    </rPh>
    <rPh sb="32" eb="34">
      <t>ヒョウジ</t>
    </rPh>
    <rPh sb="41" eb="43">
      <t>カクニン</t>
    </rPh>
    <phoneticPr fontId="11"/>
  </si>
  <si>
    <t>チェック完了ダイアログ
（エラー・要確認なし）</t>
    <rPh sb="4" eb="6">
      <t>カンリョウ</t>
    </rPh>
    <rPh sb="17" eb="20">
      <t>ヨウカクニン</t>
    </rPh>
    <phoneticPr fontId="11"/>
  </si>
  <si>
    <t>① ヒアーズミー管理ツールの「一括登録」画面を開く。
② エラーや要確認を含まないcsvファイルを選択して「チェック開始」をクリックしてチェック開始確認ダイアログを開く。
③ チェック開始確認ダイアログの「OK」ボタンをクリックする。</t>
    <rPh sb="33" eb="36">
      <t>ヨウカクニン</t>
    </rPh>
    <rPh sb="37" eb="38">
      <t>フク</t>
    </rPh>
    <rPh sb="72" eb="76">
      <t>カイシカクニン</t>
    </rPh>
    <rPh sb="82" eb="83">
      <t>ヒラ</t>
    </rPh>
    <phoneticPr fontId="11"/>
  </si>
  <si>
    <t>一括登録開始確認ダイアログ</t>
    <rPh sb="0" eb="4">
      <t>イッカツトウロク</t>
    </rPh>
    <rPh sb="4" eb="8">
      <t>カイシカクニン</t>
    </rPh>
    <phoneticPr fontId="11"/>
  </si>
  <si>
    <t>一括登録開始確認ダイアログが表示されることを確認。
-----
一括登録を開始します。よろしいですか？
「OK」「キャンセル」</t>
    <rPh sb="14" eb="16">
      <t>ヒョウジ</t>
    </rPh>
    <rPh sb="22" eb="24">
      <t>カクニン</t>
    </rPh>
    <phoneticPr fontId="11"/>
  </si>
  <si>
    <t>① 一括登録開始確認ダイアログを開く。
② 一括登録開始確認ダイアログの「OK」ボタンをクリックする。</t>
    <phoneticPr fontId="11"/>
  </si>
  <si>
    <t>① 一括登録開始確認ダイアログを開く。
② 一括登録開始確認ダイアログの「キャンセル」ボタンをクリックする。</t>
    <phoneticPr fontId="11"/>
  </si>
  <si>
    <t>一括登録開始確認ダイアログが閉じ、一括登録完了ダイアログが表示されることを確認。
DBにcsvのデータが追加されていることを確認。
-----
一括登録が完了しました。
「OK」</t>
    <rPh sb="21" eb="23">
      <t>カンリョウ</t>
    </rPh>
    <rPh sb="52" eb="54">
      <t>ツイカ</t>
    </rPh>
    <rPh sb="62" eb="64">
      <t>カクニン</t>
    </rPh>
    <phoneticPr fontId="11"/>
  </si>
  <si>
    <t>一括登録開始確認ダイアログが閉じることを確認。
DBにcsvのデータが追加されていないことを確認。</t>
    <rPh sb="20" eb="22">
      <t>カクニン</t>
    </rPh>
    <rPh sb="35" eb="37">
      <t>ツイカ</t>
    </rPh>
    <rPh sb="46" eb="48">
      <t>カクニン</t>
    </rPh>
    <phoneticPr fontId="11"/>
  </si>
  <si>
    <t>一括登録完了ダイアログ</t>
    <phoneticPr fontId="11"/>
  </si>
  <si>
    <t>① 一括登録完了ダイアログを開く。
② 一括登録完了ダイアログの「OK」ボタンをクリックする。</t>
    <phoneticPr fontId="11"/>
  </si>
  <si>
    <t>一括登録完了ダイアログが閉じることを確認。</t>
    <rPh sb="0" eb="6">
      <t>イッカツトウロクカンリョウ</t>
    </rPh>
    <rPh sb="12" eb="13">
      <t>ト</t>
    </rPh>
    <rPh sb="18" eb="20">
      <t>カクニン</t>
    </rPh>
    <phoneticPr fontId="11"/>
  </si>
  <si>
    <t>エラーダイアログ</t>
    <phoneticPr fontId="11"/>
  </si>
  <si>
    <t>チェック用データ取得
（コマンド：REQ_SEL_MASTER_FOR_USER_IMPORT）</t>
    <rPh sb="4" eb="5">
      <t>ヨウ</t>
    </rPh>
    <rPh sb="8" eb="10">
      <t>シュトク</t>
    </rPh>
    <phoneticPr fontId="11"/>
  </si>
  <si>
    <t>①  ヒアーズミー管理ツールの「一括登録」画面を開く。
② DBテーブル「iw_classtbl」をリネームする。
② 任意のcsvファイルを選択し、チェックを実行する。</t>
    <rPh sb="16" eb="20">
      <t>イッカツトウロク</t>
    </rPh>
    <rPh sb="21" eb="23">
      <t>ガメン</t>
    </rPh>
    <rPh sb="24" eb="25">
      <t>ヒラ</t>
    </rPh>
    <rPh sb="60" eb="62">
      <t>ニンイ</t>
    </rPh>
    <rPh sb="71" eb="73">
      <t>センタク</t>
    </rPh>
    <rPh sb="80" eb="82">
      <t>ジッコウ</t>
    </rPh>
    <phoneticPr fontId="11"/>
  </si>
  <si>
    <t>サーバ通信エラーのアラートが表示されることを確認。
-------
サーバとの接続でエラーが発生しました
(REQ_SEL_MASTER_FOR_USER_IMPORT/エラー情報)</t>
    <rPh sb="3" eb="5">
      <t>ツウシン</t>
    </rPh>
    <rPh sb="14" eb="16">
      <t>ヒョウジ</t>
    </rPh>
    <rPh sb="22" eb="24">
      <t>カクニン</t>
    </rPh>
    <rPh sb="89" eb="91">
      <t>ジョウホウ</t>
    </rPh>
    <phoneticPr fontId="11"/>
  </si>
  <si>
    <t>役職追加
（コマンド：REQ_ADD_CLASS）</t>
    <rPh sb="0" eb="4">
      <t>ヤクショクツイカ</t>
    </rPh>
    <phoneticPr fontId="11"/>
  </si>
  <si>
    <t>①  ヒアーズミー管理ツールの「一括登録」画面を開く。
② サーバAPIを停止する。
③ 任意のcsvファイルを選択し、チェックを実行する。</t>
    <phoneticPr fontId="11"/>
  </si>
  <si>
    <t>拠点追加
（コマンド：REQ_ADD_SECTION）</t>
    <rPh sb="0" eb="2">
      <t>キョテン</t>
    </rPh>
    <rPh sb="2" eb="4">
      <t>ツイカ</t>
    </rPh>
    <phoneticPr fontId="11"/>
  </si>
  <si>
    <t>所属追加
（コマンド：REQ_ADD_GROUP）</t>
    <rPh sb="0" eb="2">
      <t>ショゾク</t>
    </rPh>
    <rPh sb="2" eb="4">
      <t>ツイカ</t>
    </rPh>
    <phoneticPr fontId="11"/>
  </si>
  <si>
    <t>ユーザ情報インポート
（コマンド：REQ_IMPORT_USER）</t>
    <rPh sb="3" eb="5">
      <t>ジョウホウ</t>
    </rPh>
    <phoneticPr fontId="11"/>
  </si>
  <si>
    <t>14.9.148.97</t>
  </si>
  <si>
    <t>192.168.0.1</t>
    <phoneticPr fontId="11"/>
  </si>
  <si>
    <t>192.168.0.3</t>
  </si>
  <si>
    <t>192.168.0.4</t>
  </si>
  <si>
    <t>192.168.0.5</t>
  </si>
  <si>
    <t>192.168.0.6</t>
  </si>
  <si>
    <t>192.168.0.7</t>
  </si>
  <si>
    <t>192.168.0.8</t>
  </si>
  <si>
    <t>192.168.0.9</t>
  </si>
  <si>
    <r>
      <t xml:space="preserve">14.9.148.0/0
</t>
    </r>
    <r>
      <rPr>
        <b/>
        <sz val="9"/>
        <color rgb="FFFF0000"/>
        <rFont val="ＭＳ Ｐゴシック"/>
        <family val="3"/>
        <charset val="128"/>
        <scheme val="minor"/>
      </rPr>
      <t>(CIDR範囲不正)</t>
    </r>
    <rPh sb="18" eb="20">
      <t>ハンイ</t>
    </rPh>
    <rPh sb="20" eb="22">
      <t>フセイ</t>
    </rPh>
    <phoneticPr fontId="11"/>
  </si>
  <si>
    <r>
      <t xml:space="preserve">14.9.0/24.0
</t>
    </r>
    <r>
      <rPr>
        <b/>
        <sz val="9"/>
        <color rgb="FFFF0000"/>
        <rFont val="ＭＳ Ｐゴシック"/>
        <family val="3"/>
        <charset val="128"/>
        <scheme val="minor"/>
      </rPr>
      <t>(/の位置が不正)</t>
    </r>
    <rPh sb="15" eb="17">
      <t>イチ</t>
    </rPh>
    <rPh sb="18" eb="20">
      <t>フセイ</t>
    </rPh>
    <phoneticPr fontId="11"/>
  </si>
  <si>
    <t>(なし)</t>
    <phoneticPr fontId="11"/>
  </si>
  <si>
    <t>OFFで非活性</t>
    <phoneticPr fontId="11"/>
  </si>
  <si>
    <t>(なし)</t>
    <phoneticPr fontId="11"/>
  </si>
  <si>
    <t>(なし)</t>
    <phoneticPr fontId="11"/>
  </si>
  <si>
    <t>(なし)</t>
    <phoneticPr fontId="11"/>
  </si>
  <si>
    <t>ONで非活性</t>
    <phoneticPr fontId="11"/>
  </si>
  <si>
    <t>所属４－１</t>
    <rPh sb="0" eb="2">
      <t>ショゾク</t>
    </rPh>
    <phoneticPr fontId="11"/>
  </si>
  <si>
    <t>拠点５</t>
    <rPh sb="0" eb="2">
      <t>キョテン</t>
    </rPh>
    <phoneticPr fontId="11"/>
  </si>
  <si>
    <t>所属５－１</t>
    <rPh sb="0" eb="2">
      <t>ショゾク</t>
    </rPh>
    <phoneticPr fontId="11"/>
  </si>
  <si>
    <t>拠点６</t>
    <rPh sb="0" eb="2">
      <t>キョテン</t>
    </rPh>
    <phoneticPr fontId="11"/>
  </si>
  <si>
    <t>所属６－１</t>
    <rPh sb="0" eb="2">
      <t>ショゾク</t>
    </rPh>
    <phoneticPr fontId="11"/>
  </si>
  <si>
    <t>インポートデータ15</t>
    <phoneticPr fontId="11"/>
  </si>
  <si>
    <t>インポートデータ16</t>
    <phoneticPr fontId="11"/>
  </si>
  <si>
    <t>インポートデータ17</t>
    <phoneticPr fontId="11"/>
  </si>
  <si>
    <t>import15_test2-7@test.co.jp</t>
    <phoneticPr fontId="11"/>
  </si>
  <si>
    <t>import16_test2-7@test.co.jp</t>
    <phoneticPr fontId="11"/>
  </si>
  <si>
    <t>import17_test2-7@test.co.jp</t>
    <phoneticPr fontId="11"/>
  </si>
  <si>
    <t>u-13</t>
    <phoneticPr fontId="11"/>
  </si>
  <si>
    <t>m-13</t>
    <phoneticPr fontId="11"/>
  </si>
  <si>
    <t>m-14</t>
    <phoneticPr fontId="11"/>
  </si>
  <si>
    <t>u-14</t>
    <phoneticPr fontId="11"/>
  </si>
  <si>
    <t>u-15</t>
    <phoneticPr fontId="11"/>
  </si>
  <si>
    <t>m-15</t>
    <phoneticPr fontId="11"/>
  </si>
  <si>
    <t>s-2</t>
    <phoneticPr fontId="11"/>
  </si>
  <si>
    <t>s-3</t>
    <phoneticPr fontId="11"/>
  </si>
  <si>
    <t>s-4</t>
    <phoneticPr fontId="11"/>
  </si>
  <si>
    <t>g-4</t>
    <phoneticPr fontId="11"/>
  </si>
  <si>
    <t>g-5</t>
    <phoneticPr fontId="11"/>
  </si>
  <si>
    <t>g-6</t>
    <phoneticPr fontId="11"/>
  </si>
  <si>
    <t>m-13</t>
    <phoneticPr fontId="11"/>
  </si>
  <si>
    <t>インポートデータ16</t>
    <phoneticPr fontId="11"/>
  </si>
  <si>
    <t>インポートデータ17</t>
    <phoneticPr fontId="11"/>
  </si>
  <si>
    <t>u-14</t>
    <phoneticPr fontId="11"/>
  </si>
  <si>
    <t>u-15</t>
    <phoneticPr fontId="11"/>
  </si>
  <si>
    <t>インポートデータ15</t>
    <phoneticPr fontId="11"/>
  </si>
  <si>
    <t>インポートデータ16</t>
    <phoneticPr fontId="11"/>
  </si>
  <si>
    <t>インポートデータ17</t>
    <phoneticPr fontId="11"/>
  </si>
  <si>
    <t>import15_test2-7@test.co.jp</t>
    <phoneticPr fontId="11"/>
  </si>
  <si>
    <t>import16_test2-7@test.co.jp</t>
    <phoneticPr fontId="11"/>
  </si>
  <si>
    <t>役職１</t>
    <rPh sb="0" eb="2">
      <t>ヤクショク</t>
    </rPh>
    <phoneticPr fontId="11"/>
  </si>
  <si>
    <t>役職２</t>
    <rPh sb="0" eb="2">
      <t>ヤクショク</t>
    </rPh>
    <phoneticPr fontId="11"/>
  </si>
  <si>
    <t>役職３</t>
    <rPh sb="0" eb="2">
      <t>ヤクショク</t>
    </rPh>
    <phoneticPr fontId="11"/>
  </si>
  <si>
    <t>s-2</t>
    <phoneticPr fontId="11"/>
  </si>
  <si>
    <t>s-3</t>
    <phoneticPr fontId="11"/>
  </si>
  <si>
    <t>s-4</t>
    <phoneticPr fontId="11"/>
  </si>
  <si>
    <t>所属４－１</t>
    <phoneticPr fontId="11"/>
  </si>
  <si>
    <t>所属５－１</t>
    <phoneticPr fontId="11"/>
  </si>
  <si>
    <t>所属６－１</t>
    <phoneticPr fontId="11"/>
  </si>
  <si>
    <t>g-5</t>
    <phoneticPr fontId="11"/>
  </si>
  <si>
    <t>c-2</t>
    <phoneticPr fontId="11"/>
  </si>
  <si>
    <t>c-3</t>
  </si>
  <si>
    <t>c-4</t>
  </si>
  <si>
    <t>c-2</t>
    <phoneticPr fontId="11"/>
  </si>
  <si>
    <t>c-3</t>
    <phoneticPr fontId="11"/>
  </si>
  <si>
    <t>c-4</t>
    <phoneticPr fontId="11"/>
  </si>
  <si>
    <t>「データ（IP制限機能）」シート
【1】表示</t>
    <rPh sb="7" eb="9">
      <t>セイゲン</t>
    </rPh>
    <rPh sb="9" eb="11">
      <t>キノウ</t>
    </rPh>
    <phoneticPr fontId="7"/>
  </si>
  <si>
    <t>① 「データ（IP制限機能）」シートの「実施条件」欄のDBデータを用意し、「リクエスト元IPアドレス」でヒアーズミ管理ツールーにログインする。
② メニュー「セキュリティ」をクリックする。</t>
    <rPh sb="57" eb="59">
      <t>カンリ</t>
    </rPh>
    <phoneticPr fontId="11"/>
  </si>
  <si>
    <t>① 「データ（IP制限機能）」シートの「実施前」欄のデータを用意し、「リクエスト元IPアドレス」でヒアーズミー管理ツールの「セキュリティ」画面を開く。
② 「入力値」となるように変更し、「サーバ保存」ボタンをクリックする。</t>
    <rPh sb="22" eb="23">
      <t>マエ</t>
    </rPh>
    <rPh sb="55" eb="57">
      <t>カンリ</t>
    </rPh>
    <rPh sb="72" eb="73">
      <t>ヒラ</t>
    </rPh>
    <rPh sb="79" eb="82">
      <t>ニュウリョクチ</t>
    </rPh>
    <rPh sb="89" eb="91">
      <t>ヘンコウ</t>
    </rPh>
    <rPh sb="97" eb="99">
      <t>ホゾン</t>
    </rPh>
    <phoneticPr fontId="11"/>
  </si>
  <si>
    <t>① 「データ（IP制限機能）」シートの「実施前」欄のデータを用意し、「リクエスト元IPアドレス」でヒアーズミー管理ツールの「セキュリティ」画面を開く。
② 「更新操作」となるように入力値を変更し、「サーバ保存」ボタンをクリックする。</t>
    <rPh sb="22" eb="23">
      <t>マエ</t>
    </rPh>
    <rPh sb="55" eb="57">
      <t>カンリ</t>
    </rPh>
    <rPh sb="72" eb="73">
      <t>ヒラ</t>
    </rPh>
    <rPh sb="79" eb="83">
      <t>コウシンソウサ</t>
    </rPh>
    <rPh sb="90" eb="93">
      <t>ニュウリョクチ</t>
    </rPh>
    <rPh sb="94" eb="96">
      <t>ヘンコウ</t>
    </rPh>
    <rPh sb="102" eb="104">
      <t>ホゾン</t>
    </rPh>
    <phoneticPr fontId="11"/>
  </si>
  <si>
    <t>「データ（IP制限機能）」シート
【3】更新</t>
    <phoneticPr fontId="7"/>
  </si>
  <si>
    <t>① 「データ（IP制限機能）」シートの「実施条件」欄のDBデータを用意し、「リクエスト元IPアドレス」でヒアーズミー管理ツールのログイン画面にアクセスする。
② ログインアカウントを入力して「ログイン」ボタンをクリックする。</t>
    <rPh sb="25" eb="26">
      <t>ラン</t>
    </rPh>
    <rPh sb="33" eb="35">
      <t>ヨウイ</t>
    </rPh>
    <rPh sb="58" eb="60">
      <t>カンリ</t>
    </rPh>
    <rPh sb="68" eb="70">
      <t>ガメン</t>
    </rPh>
    <rPh sb="91" eb="93">
      <t>ニュウリョク</t>
    </rPh>
    <phoneticPr fontId="7"/>
  </si>
  <si>
    <t>「データ（IP制限機能）」シート
【4】ログイン</t>
    <phoneticPr fontId="7"/>
  </si>
  <si>
    <t>インポートデータ14</t>
    <phoneticPr fontId="11"/>
  </si>
  <si>
    <t>「データ（一括登録）」シート
【1】ファイル選択</t>
    <rPh sb="5" eb="7">
      <t>イッカツ</t>
    </rPh>
    <rPh sb="7" eb="9">
      <t>トウロク</t>
    </rPh>
    <phoneticPr fontId="7"/>
  </si>
  <si>
    <t>① 「データ（一括登録）」シートの「「ファイルを選択」ボタン
選択するファイルの拡張子」欄の拡張子となるファイルを用意する。
② 「ユーザ一括登録」画面を開き、「ファイル選択」ボタンをクリックし、①で用意したファイルを選択する。</t>
    <rPh sb="46" eb="49">
      <t>カクチョウシ</t>
    </rPh>
    <rPh sb="57" eb="59">
      <t>ヨウイ</t>
    </rPh>
    <rPh sb="69" eb="73">
      <t>イッカツトウロク</t>
    </rPh>
    <rPh sb="74" eb="76">
      <t>ガメン</t>
    </rPh>
    <rPh sb="77" eb="78">
      <t>ヒラ</t>
    </rPh>
    <rPh sb="85" eb="87">
      <t>センタク</t>
    </rPh>
    <rPh sb="100" eb="102">
      <t>ヨウイ</t>
    </rPh>
    <rPh sb="109" eb="111">
      <t>センタク</t>
    </rPh>
    <phoneticPr fontId="11"/>
  </si>
  <si>
    <t>「データ（一括登録）」シート
【1】ファイル選択
試験No1</t>
    <rPh sb="25" eb="27">
      <t>シケン</t>
    </rPh>
    <phoneticPr fontId="11"/>
  </si>
  <si>
    <t>「データ（一括登録）」シート
【1】ファイル選択
試験No2</t>
    <rPh sb="25" eb="27">
      <t>シケン</t>
    </rPh>
    <phoneticPr fontId="11"/>
  </si>
  <si>
    <t>「データ（一括登録）」シート
【1】ファイル選択
試験No3</t>
    <rPh sb="25" eb="27">
      <t>シケン</t>
    </rPh>
    <phoneticPr fontId="11"/>
  </si>
  <si>
    <t>「データ（一括登録）」シート
【1】ファイル選択
試験No4</t>
    <rPh sb="25" eb="27">
      <t>シケン</t>
    </rPh>
    <phoneticPr fontId="11"/>
  </si>
  <si>
    <t>「データ（一括登録）」シート
【2】csvファイルチェック</t>
    <phoneticPr fontId="7"/>
  </si>
  <si>
    <t>① 「データ（一括登録）」シートの「csvファイルのデータ」欄のデータを用意する。
② ヒアーズミー管理ツールの「ユーザ一括登録」画面で①で用意したファイルを選択し、「チェック開始」ボタンをクリックする。</t>
    <rPh sb="50" eb="52">
      <t>カンリ</t>
    </rPh>
    <rPh sb="60" eb="64">
      <t>イッカツトウロク</t>
    </rPh>
    <rPh sb="70" eb="72">
      <t>ヨウイ</t>
    </rPh>
    <rPh sb="79" eb="81">
      <t>センタク</t>
    </rPh>
    <rPh sb="88" eb="90">
      <t>カイシ</t>
    </rPh>
    <phoneticPr fontId="11"/>
  </si>
  <si>
    <t>「データ（一括登録）」シート
【2】csvファイルチェック
試験No1</t>
    <rPh sb="30" eb="32">
      <t>シケン</t>
    </rPh>
    <phoneticPr fontId="11"/>
  </si>
  <si>
    <t>「データ（一括登録）」シート
【2】csvファイルチェック
試験No2</t>
    <rPh sb="30" eb="32">
      <t>シケン</t>
    </rPh>
    <phoneticPr fontId="11"/>
  </si>
  <si>
    <t>「データ（一括登録）」シート
【2】csvファイルチェック
試験No3</t>
    <rPh sb="30" eb="32">
      <t>シケン</t>
    </rPh>
    <phoneticPr fontId="11"/>
  </si>
  <si>
    <t>「データ（一括登録）」シート
【2】csvファイルチェック
試験No4</t>
    <rPh sb="30" eb="32">
      <t>シケン</t>
    </rPh>
    <phoneticPr fontId="11"/>
  </si>
  <si>
    <t>「データ（一括登録）」シート
【2】csvファイルチェック
試験No5</t>
    <rPh sb="30" eb="32">
      <t>シケン</t>
    </rPh>
    <phoneticPr fontId="11"/>
  </si>
  <si>
    <t>「データ（一括登録）」シート
【2】csvファイルチェック
試験No6</t>
    <rPh sb="30" eb="32">
      <t>シケン</t>
    </rPh>
    <phoneticPr fontId="11"/>
  </si>
  <si>
    <t>「データ（一括登録）」シート
【2】csvファイルチェック
試験No7</t>
    <rPh sb="30" eb="32">
      <t>シケン</t>
    </rPh>
    <phoneticPr fontId="11"/>
  </si>
  <si>
    <t>「データ（一括登録）」シート
【2】csvファイルチェック
試験No8</t>
    <rPh sb="30" eb="32">
      <t>シケン</t>
    </rPh>
    <phoneticPr fontId="11"/>
  </si>
  <si>
    <t>「データ（一括登録）」シート
【2】csvファイルチェック
試験No9</t>
    <rPh sb="30" eb="32">
      <t>シケン</t>
    </rPh>
    <phoneticPr fontId="11"/>
  </si>
  <si>
    <t>「データ（一括登録）」シート
【2】csvファイルチェック
試験No10</t>
    <rPh sb="30" eb="32">
      <t>シケン</t>
    </rPh>
    <phoneticPr fontId="11"/>
  </si>
  <si>
    <t>「データ（一括登録）」シート
【2】csvファイルチェック
試験No11</t>
    <rPh sb="30" eb="32">
      <t>シケン</t>
    </rPh>
    <phoneticPr fontId="11"/>
  </si>
  <si>
    <t>「データ（一括登録）」シート
【2】csvファイルチェック
試験No12</t>
    <rPh sb="30" eb="32">
      <t>シケン</t>
    </rPh>
    <phoneticPr fontId="11"/>
  </si>
  <si>
    <t>「データ（一括登録）」シート
【2】csvファイルチェック
試験No13</t>
    <rPh sb="30" eb="32">
      <t>シケン</t>
    </rPh>
    <phoneticPr fontId="11"/>
  </si>
  <si>
    <t>「データ（一括登録）」シート
【2】csvファイルチェック
試験No14</t>
    <rPh sb="30" eb="32">
      <t>シケン</t>
    </rPh>
    <phoneticPr fontId="11"/>
  </si>
  <si>
    <t>「データ（一括登録）」シート
【2】csvファイルチェック
試験No15</t>
    <rPh sb="30" eb="32">
      <t>シケン</t>
    </rPh>
    <phoneticPr fontId="11"/>
  </si>
  <si>
    <t>「データ（一括登録）」シート
【2】csvファイルチェック
試験No16</t>
    <rPh sb="30" eb="32">
      <t>シケン</t>
    </rPh>
    <phoneticPr fontId="11"/>
  </si>
  <si>
    <t>「データ（一括登録）」シート
【2】csvファイルチェック
試験No17</t>
    <rPh sb="30" eb="32">
      <t>シケン</t>
    </rPh>
    <phoneticPr fontId="11"/>
  </si>
  <si>
    <t>「データ（一括登録）」シート
【2】csvファイルチェック
試験No18</t>
    <rPh sb="30" eb="32">
      <t>シケン</t>
    </rPh>
    <phoneticPr fontId="11"/>
  </si>
  <si>
    <t>「データ（一括登録）」シート
【2】csvファイルチェック
試験No19</t>
    <rPh sb="30" eb="32">
      <t>シケン</t>
    </rPh>
    <phoneticPr fontId="11"/>
  </si>
  <si>
    <t>「データ（一括登録）」シート
【2】csvファイルチェック
試験No20</t>
    <rPh sb="30" eb="32">
      <t>シケン</t>
    </rPh>
    <phoneticPr fontId="11"/>
  </si>
  <si>
    <t>「データ（一括登録）」シート
【2】csvファイルチェック
試験No21</t>
    <rPh sb="30" eb="32">
      <t>シケン</t>
    </rPh>
    <phoneticPr fontId="11"/>
  </si>
  <si>
    <t>「データ（一括登録）」シート
【2】csvファイルチェック
試験No22</t>
    <rPh sb="30" eb="32">
      <t>シケン</t>
    </rPh>
    <phoneticPr fontId="11"/>
  </si>
  <si>
    <t>「データ（一括登録）」シート
【2】csvファイルチェック
試験No23</t>
    <rPh sb="30" eb="32">
      <t>シケン</t>
    </rPh>
    <phoneticPr fontId="11"/>
  </si>
  <si>
    <t>「データ（一括登録）」シート
【2】csvファイルチェック
試験No24</t>
    <rPh sb="30" eb="32">
      <t>シケン</t>
    </rPh>
    <phoneticPr fontId="11"/>
  </si>
  <si>
    <t>「データ（一括登録）」シート
【2】csvファイルチェック
試験No25</t>
    <rPh sb="30" eb="32">
      <t>シケン</t>
    </rPh>
    <phoneticPr fontId="11"/>
  </si>
  <si>
    <t>「データ（一括登録）」シート
【2】csvファイルチェック
試験No26</t>
    <rPh sb="30" eb="32">
      <t>シケン</t>
    </rPh>
    <phoneticPr fontId="11"/>
  </si>
  <si>
    <t>「データ（一括登録）」シート
【3】一括登録
試験No1</t>
    <rPh sb="23" eb="25">
      <t>シケン</t>
    </rPh>
    <phoneticPr fontId="11"/>
  </si>
  <si>
    <t>「データ（一括登録）」シート
【3】一括登録</t>
    <phoneticPr fontId="7"/>
  </si>
  <si>
    <t>「データ（一括登録）」シート
【3】一括登録
試験No2</t>
    <rPh sb="23" eb="25">
      <t>シケン</t>
    </rPh>
    <phoneticPr fontId="11"/>
  </si>
  <si>
    <t>「データ（一括登録）」シート
【3】一括登録
試験No3</t>
    <rPh sb="23" eb="25">
      <t>シケン</t>
    </rPh>
    <phoneticPr fontId="11"/>
  </si>
  <si>
    <t>「データ（一括登録）」シート
【3】一括登録
試験No4</t>
    <rPh sb="23" eb="25">
      <t>シケン</t>
    </rPh>
    <phoneticPr fontId="11"/>
  </si>
  <si>
    <t>「データ（IP制限機能）」シート
【2】入力チェック
試験No1</t>
    <rPh sb="27" eb="29">
      <t>シケン</t>
    </rPh>
    <phoneticPr fontId="11"/>
  </si>
  <si>
    <t>「データ（IP制限機能）」シート
【2】入力チェック
試験No2</t>
    <rPh sb="27" eb="29">
      <t>シケン</t>
    </rPh>
    <phoneticPr fontId="11"/>
  </si>
  <si>
    <t>「データ（IP制限機能）」シート
【2】入力チェック
試験No3</t>
    <rPh sb="27" eb="29">
      <t>シケン</t>
    </rPh>
    <phoneticPr fontId="11"/>
  </si>
  <si>
    <t>「データ（IP制限機能）」シート
【2】入力チェック
試験No4</t>
    <rPh sb="27" eb="29">
      <t>シケン</t>
    </rPh>
    <phoneticPr fontId="11"/>
  </si>
  <si>
    <t>「データ（IP制限機能）」シート
【2】入力チェック
試験No5</t>
    <rPh sb="27" eb="29">
      <t>シケン</t>
    </rPh>
    <phoneticPr fontId="11"/>
  </si>
  <si>
    <t>「データ（IP制限機能）」シート
【2】入力チェック
試験No6</t>
    <rPh sb="27" eb="29">
      <t>シケン</t>
    </rPh>
    <phoneticPr fontId="11"/>
  </si>
  <si>
    <t>「データ（IP制限機能）」シート
【2】入力チェック
試験No7</t>
    <rPh sb="27" eb="29">
      <t>シケン</t>
    </rPh>
    <phoneticPr fontId="11"/>
  </si>
  <si>
    <t>「データ（IP制限機能）」シート
【2】入力チェック
試験No8</t>
    <rPh sb="27" eb="29">
      <t>シケン</t>
    </rPh>
    <phoneticPr fontId="11"/>
  </si>
  <si>
    <t>「データ（IP制限機能）」シート
【2】入力チェック
試験No9</t>
    <rPh sb="27" eb="29">
      <t>シケン</t>
    </rPh>
    <phoneticPr fontId="11"/>
  </si>
  <si>
    <t>「データ（IP制限機能）」シート
【2】入力チェック
試験No10</t>
    <rPh sb="27" eb="29">
      <t>シケン</t>
    </rPh>
    <phoneticPr fontId="11"/>
  </si>
  <si>
    <t>「データ（IP制限機能）」シート
【2】入力チェック
試験No11</t>
    <rPh sb="27" eb="29">
      <t>シケン</t>
    </rPh>
    <phoneticPr fontId="11"/>
  </si>
  <si>
    <t>「データ（IP制限機能）」シート
【2】入力チェック
試験No12</t>
    <rPh sb="27" eb="29">
      <t>シケン</t>
    </rPh>
    <phoneticPr fontId="11"/>
  </si>
  <si>
    <t>「データ（IP制限機能）」シート
【2】入力チェック
試験No13</t>
    <rPh sb="27" eb="29">
      <t>シケン</t>
    </rPh>
    <phoneticPr fontId="11"/>
  </si>
  <si>
    <t>「データ（IP制限機能）」シート
【2】入力チェック
試験No14</t>
    <rPh sb="27" eb="29">
      <t>シケン</t>
    </rPh>
    <phoneticPr fontId="11"/>
  </si>
  <si>
    <t>「データ（IP制限機能）」シート
【2】入力チェック
試験No15</t>
    <rPh sb="27" eb="29">
      <t>シケン</t>
    </rPh>
    <phoneticPr fontId="11"/>
  </si>
  <si>
    <t>「データ（IP制限機能）」シート
【2】入力チェック
試験No16</t>
    <rPh sb="27" eb="29">
      <t>シケン</t>
    </rPh>
    <phoneticPr fontId="11"/>
  </si>
  <si>
    <t>「データ（IP制限機能）」シート
【2】入力チェック
試験No17</t>
    <rPh sb="27" eb="29">
      <t>シケン</t>
    </rPh>
    <phoneticPr fontId="11"/>
  </si>
  <si>
    <t>「データ（IP制限機能）」シート
【2】入力チェック
試験No18</t>
    <rPh sb="27" eb="29">
      <t>シケン</t>
    </rPh>
    <phoneticPr fontId="11"/>
  </si>
  <si>
    <t>「データ（IP制限機能）」シート
【2】入力チェック
試験No19</t>
    <rPh sb="27" eb="29">
      <t>シケン</t>
    </rPh>
    <phoneticPr fontId="11"/>
  </si>
  <si>
    <t>「データ（IP制限機能）」シート
【2】入力チェック
試験No20</t>
    <rPh sb="27" eb="29">
      <t>シケン</t>
    </rPh>
    <phoneticPr fontId="11"/>
  </si>
  <si>
    <t>「データ（IP制限機能）」シート
【2】入力チェック
試験No21</t>
    <rPh sb="27" eb="29">
      <t>シケン</t>
    </rPh>
    <phoneticPr fontId="11"/>
  </si>
  <si>
    <t>「データ（IP制限機能）」シート
【2】入力チェック
試験No22</t>
    <rPh sb="27" eb="29">
      <t>シケン</t>
    </rPh>
    <phoneticPr fontId="11"/>
  </si>
  <si>
    <t>「データ（IP制限機能）」シート
【2】入力チェック
試験No23</t>
    <rPh sb="27" eb="29">
      <t>シケン</t>
    </rPh>
    <phoneticPr fontId="11"/>
  </si>
  <si>
    <t>「データ（IP制限機能）」シート
【2】入力チェック
試験No24</t>
    <rPh sb="27" eb="29">
      <t>シケン</t>
    </rPh>
    <phoneticPr fontId="11"/>
  </si>
  <si>
    <t>「データ（IP制限機能）」シート
【2】入力チェック
試験No25</t>
    <rPh sb="27" eb="29">
      <t>シケン</t>
    </rPh>
    <phoneticPr fontId="11"/>
  </si>
  <si>
    <t>「データ（IP制限機能）」シート
【2】入力チェック
試験No26</t>
    <rPh sb="27" eb="29">
      <t>シケン</t>
    </rPh>
    <phoneticPr fontId="11"/>
  </si>
  <si>
    <t>「データ（IP制限機能）」シート
【2】入力チェック
試験No27</t>
    <rPh sb="27" eb="29">
      <t>シケン</t>
    </rPh>
    <phoneticPr fontId="11"/>
  </si>
  <si>
    <t>「データ（IP制限機能）」シート
【2】入力チェック
試験No28</t>
    <rPh sb="27" eb="29">
      <t>シケン</t>
    </rPh>
    <phoneticPr fontId="11"/>
  </si>
  <si>
    <t>「データ（IP制限機能）」シート
【2】入力チェック
試験No29</t>
    <rPh sb="27" eb="29">
      <t>シケン</t>
    </rPh>
    <phoneticPr fontId="11"/>
  </si>
  <si>
    <t>「データ（IP制限機能）」シート
【2】入力チェック
試験No30</t>
    <rPh sb="27" eb="29">
      <t>シケン</t>
    </rPh>
    <phoneticPr fontId="11"/>
  </si>
  <si>
    <t>「データ（IP制限機能）」シート
【2】入力チェック
試験No31</t>
    <rPh sb="27" eb="29">
      <t>シケン</t>
    </rPh>
    <phoneticPr fontId="11"/>
  </si>
  <si>
    <t>「データ（IP制限機能）」シート
【3】更新
試験No1</t>
    <rPh sb="23" eb="25">
      <t>シケン</t>
    </rPh>
    <phoneticPr fontId="11"/>
  </si>
  <si>
    <t>「データ（IP制限機能）」シート
【3】更新
試験No2</t>
    <rPh sb="23" eb="25">
      <t>シケン</t>
    </rPh>
    <phoneticPr fontId="11"/>
  </si>
  <si>
    <t>「データ（IP制限機能）」シート
【3】更新
試験No3</t>
    <rPh sb="23" eb="25">
      <t>シケン</t>
    </rPh>
    <phoneticPr fontId="11"/>
  </si>
  <si>
    <t>「データ（IP制限機能）」シート
【3】更新
試験No4</t>
    <rPh sb="23" eb="25">
      <t>シケン</t>
    </rPh>
    <phoneticPr fontId="11"/>
  </si>
  <si>
    <t>「データ（IP制限機能）」シート
【3】更新
試験No5</t>
    <rPh sb="23" eb="25">
      <t>シケン</t>
    </rPh>
    <phoneticPr fontId="11"/>
  </si>
  <si>
    <t>「データ（IP制限機能）」シート
【4】ログイン
試験No1</t>
    <phoneticPr fontId="11"/>
  </si>
  <si>
    <t>「データ（IP制限機能）」シート
【4】ログイン
試験No2</t>
  </si>
  <si>
    <t>「データ（IP制限機能）」シート
【4】ログイン
試験No3</t>
  </si>
  <si>
    <t>「データ（IP制限機能）」シート
【4】ログイン
試験No4</t>
  </si>
  <si>
    <t>「データ（IP制限機能）」シート
【4】ログイン
試験No5</t>
  </si>
  <si>
    <t>「データ（IP制限機能）」シート
【4】ログイン
試験No6</t>
  </si>
  <si>
    <t>「データ（IP制限機能）」シート
【4】ログイン
試験No7</t>
  </si>
  <si>
    <t>「データ（IP制限機能）」シート
【4】ログイン
試験No8</t>
  </si>
  <si>
    <t>「データ（IP制限機能）」シート
【4】ログイン
試験No9</t>
  </si>
  <si>
    <t>「データ（IP制限機能）」シート
【4】ログイン
試験No10</t>
  </si>
  <si>
    <t>「データ（IP制限機能）」シート
【4】ログイン
試験No11</t>
  </si>
  <si>
    <t>「データ（IP制限機能）」シート
【4】ログイン
試験No12</t>
  </si>
  <si>
    <t>「データ（IP制限機能）」シート
【4】ログイン
試験No13</t>
  </si>
  <si>
    <t>「データ（IP制限機能）」シート
【4】ログイン
試験No14</t>
  </si>
  <si>
    <t>「データ（IP制限機能）」シート
【4】ログイン
試験No15</t>
  </si>
  <si>
    <t>「データ（IP制限機能）」シート
【4】ログイン
試験No16</t>
  </si>
  <si>
    <t>「データ（IP制限機能）」シート
【4】ログイン
試験No17</t>
  </si>
  <si>
    <t>「データ（IP制限機能）」シート
【4】ログイン
試験No18</t>
  </si>
  <si>
    <t>「データ（IP制限機能）」シート
【4】ログイン
試験No19</t>
  </si>
  <si>
    <t>① 「データ（IP制限機能）」シートの「実施条件」欄のDBデータを用意し、「リクエスト元IPアドレス」でヒアーズミーのログイン画面にアクセスする。
② ログインアカウントを入力して「ログイン」ボタンをクリックする。</t>
    <rPh sb="25" eb="26">
      <t>ラン</t>
    </rPh>
    <rPh sb="33" eb="35">
      <t>ヨウイ</t>
    </rPh>
    <rPh sb="63" eb="65">
      <t>ガメン</t>
    </rPh>
    <rPh sb="86" eb="88">
      <t>ニュウリョク</t>
    </rPh>
    <phoneticPr fontId="7"/>
  </si>
  <si>
    <t>アカウント作成</t>
    <rPh sb="5" eb="7">
      <t>サクセイ</t>
    </rPh>
    <phoneticPr fontId="11"/>
  </si>
  <si>
    <t>① アカウント作成ツールの「ヒアーズミー」画面を開く。
② 任意の情報でアカウンを作成する。</t>
    <rPh sb="7" eb="9">
      <t>サクセイ</t>
    </rPh>
    <rPh sb="21" eb="23">
      <t>ガメン</t>
    </rPh>
    <rPh sb="24" eb="25">
      <t>ヒラ</t>
    </rPh>
    <rPh sb="30" eb="32">
      <t>ニンイ</t>
    </rPh>
    <rPh sb="33" eb="35">
      <t>ジョウホウ</t>
    </rPh>
    <rPh sb="41" eb="43">
      <t>サクセイ</t>
    </rPh>
    <phoneticPr fontId="11"/>
  </si>
  <si>
    <t>csvファイルに記載した内容で、役職・拠点・所属・ユーザが登録されることを確認。</t>
    <phoneticPr fontId="11"/>
  </si>
  <si>
    <t>① No1を実施する。
② ①で作成したアカウントでヒアーズミー管理ツールにログインし、「セキュリティ」画面を開く。
③ 任意の情報に変更して「サーバ保存」を実行する。</t>
    <rPh sb="6" eb="8">
      <t>ジッシ</t>
    </rPh>
    <rPh sb="16" eb="18">
      <t>サクセイ</t>
    </rPh>
    <rPh sb="32" eb="34">
      <t>カンリ</t>
    </rPh>
    <phoneticPr fontId="11"/>
  </si>
  <si>
    <t>②実施後、「ヒアーズミーにアクセスするIPアドレスを制限」チェックボックスがOFF、IPリストが空であることを確認。
③実施後、入力した内容にDBが更新されることを確認。</t>
    <phoneticPr fontId="11"/>
  </si>
  <si>
    <t>ver2.7新規アカウント
→IP制限機能を利用</t>
    <rPh sb="6" eb="8">
      <t>シンキ</t>
    </rPh>
    <rPh sb="17" eb="19">
      <t>セイゲン</t>
    </rPh>
    <rPh sb="19" eb="21">
      <t>キノウ</t>
    </rPh>
    <rPh sb="22" eb="24">
      <t>リヨウ</t>
    </rPh>
    <phoneticPr fontId="11"/>
  </si>
  <si>
    <t>ver2.7新規アカウント
→一括登録機能を利用</t>
    <rPh sb="15" eb="19">
      <t>イッカツトウロク</t>
    </rPh>
    <rPh sb="19" eb="21">
      <t>キノウ</t>
    </rPh>
    <rPh sb="22" eb="24">
      <t>リヨウ</t>
    </rPh>
    <phoneticPr fontId="11"/>
  </si>
  <si>
    <t>～ver2.6.3既存アカウント
→IP制限機能を利用</t>
    <rPh sb="9" eb="11">
      <t>キゾン</t>
    </rPh>
    <rPh sb="20" eb="24">
      <t>セイゲンキノウ</t>
    </rPh>
    <rPh sb="25" eb="27">
      <t>リヨウ</t>
    </rPh>
    <phoneticPr fontId="11"/>
  </si>
  <si>
    <t>～ver2.6.3既存アカウント
→一括登録機能を利用</t>
    <rPh sb="9" eb="11">
      <t>キゾン</t>
    </rPh>
    <rPh sb="18" eb="20">
      <t>イッカツ</t>
    </rPh>
    <rPh sb="20" eb="22">
      <t>トウロク</t>
    </rPh>
    <rPh sb="22" eb="24">
      <t>キノウ</t>
    </rPh>
    <rPh sb="25" eb="27">
      <t>リヨウ</t>
    </rPh>
    <phoneticPr fontId="11"/>
  </si>
  <si>
    <t>① ver2.6.3以前に登録したアカウントでヒアーズミー管理ツールにログインし、「セキュリティ」画面を開く。
② 任意の情報に変更して「サーバ保存」を実行する。</t>
    <rPh sb="10" eb="12">
      <t>イゼン</t>
    </rPh>
    <rPh sb="13" eb="15">
      <t>トウロク</t>
    </rPh>
    <rPh sb="29" eb="31">
      <t>カンリ</t>
    </rPh>
    <phoneticPr fontId="11"/>
  </si>
  <si>
    <t>①実施後、「ヒアーズミーにアクセスするIPアドレスを制限」チェックボックスがOFF、IPリストが空であることを確認。
②実施後、入力した内容にDBが更新されることを確認。</t>
    <phoneticPr fontId="11"/>
  </si>
  <si>
    <t>アカウント作成ツール</t>
    <rPh sb="5" eb="7">
      <t>サクセイ</t>
    </rPh>
    <phoneticPr fontId="7"/>
  </si>
  <si>
    <t>アカウント削除</t>
    <rPh sb="5" eb="7">
      <t>サクジョ</t>
    </rPh>
    <phoneticPr fontId="11"/>
  </si>
  <si>
    <t>① No1を実施する。
② ①で作成したアカウントを削除する。</t>
    <rPh sb="6" eb="8">
      <t>ジッシ</t>
    </rPh>
    <rPh sb="16" eb="18">
      <t>サクセイ</t>
    </rPh>
    <rPh sb="26" eb="28">
      <t>サクジョ</t>
    </rPh>
    <phoneticPr fontId="11"/>
  </si>
  <si>
    <t>正常にログインできることを確認。
DB「iw_ipmanagetbl」にデータが作成されていることを確認。</t>
    <rPh sb="0" eb="2">
      <t>セイジョウ</t>
    </rPh>
    <rPh sb="13" eb="15">
      <t>カクニン</t>
    </rPh>
    <rPh sb="40" eb="42">
      <t>サクセイ</t>
    </rPh>
    <rPh sb="50" eb="52">
      <t>カクニン</t>
    </rPh>
    <phoneticPr fontId="11"/>
  </si>
  <si>
    <t>DB「iw_ipmanagetbl」を含め、すべてのDBテーブルから①で作成した企業情報が削除されていることを確認。</t>
    <rPh sb="19" eb="20">
      <t>フク</t>
    </rPh>
    <rPh sb="36" eb="38">
      <t>サクセイ</t>
    </rPh>
    <rPh sb="40" eb="42">
      <t>キギョウ</t>
    </rPh>
    <rPh sb="42" eb="44">
      <t>ジョウホウ</t>
    </rPh>
    <rPh sb="45" eb="47">
      <t>サクジョ</t>
    </rPh>
    <rPh sb="55" eb="57">
      <t>カクニン</t>
    </rPh>
    <phoneticPr fontId="11"/>
  </si>
  <si>
    <t>① ver2.6.3以前に登録したアカウントでヒアーズミー管理ツールにログインし、「一括登録」画面を開く。
③ 任意のcsvファイルでユーザ一括登録を実行する。</t>
    <phoneticPr fontId="11"/>
  </si>
  <si>
    <t>① ver2.6.3以前に登録したアカウントを削除する。</t>
    <rPh sb="23" eb="25">
      <t>サクジョ</t>
    </rPh>
    <phoneticPr fontId="11"/>
  </si>
  <si>
    <t>ヒアーズミーでログイン
（t.mic_test2-7@test.co.jp）</t>
    <phoneticPr fontId="11"/>
  </si>
  <si>
    <t>「 127 」</t>
    <phoneticPr fontId="11"/>
  </si>
  <si>
    <t>インポート"データ"28</t>
    <phoneticPr fontId="11"/>
  </si>
  <si>
    <t>IP制限リセット</t>
    <rPh sb="2" eb="4">
      <t>セイゲン</t>
    </rPh>
    <phoneticPr fontId="7"/>
  </si>
  <si>
    <t>① ヒアーズミー管理ツールの「セキュリティ」画面にて、「ヒアーズミーにアクセスするIPアドレスを制限」チェックボックスをON、IPリストに１件以上の許可IPを設定する。
② アカウント作成ツールにて、①の設定を行った企業の詳細ダイアログを開き、「IP制限をリセット」チェックボックスをONにし、更新する。
③ ①のアカウントでヒアーズミー管理ツールの「セキュリティ」画面を表示する。</t>
    <rPh sb="8" eb="10">
      <t>カンリ</t>
    </rPh>
    <rPh sb="22" eb="24">
      <t>ガメン</t>
    </rPh>
    <rPh sb="48" eb="50">
      <t>セイゲン</t>
    </rPh>
    <rPh sb="70" eb="71">
      <t>ケン</t>
    </rPh>
    <rPh sb="71" eb="73">
      <t>イジョウ</t>
    </rPh>
    <rPh sb="74" eb="76">
      <t>キョカ</t>
    </rPh>
    <rPh sb="79" eb="81">
      <t>セッテイ</t>
    </rPh>
    <rPh sb="92" eb="94">
      <t>サクセイ</t>
    </rPh>
    <rPh sb="102" eb="104">
      <t>セッテイ</t>
    </rPh>
    <rPh sb="105" eb="106">
      <t>オコナ</t>
    </rPh>
    <rPh sb="108" eb="110">
      <t>キギョウ</t>
    </rPh>
    <rPh sb="111" eb="113">
      <t>ショウサイ</t>
    </rPh>
    <rPh sb="119" eb="120">
      <t>ヒラ</t>
    </rPh>
    <rPh sb="125" eb="127">
      <t>セイゲン</t>
    </rPh>
    <rPh sb="147" eb="149">
      <t>コウシン</t>
    </rPh>
    <rPh sb="170" eb="172">
      <t>カンリ</t>
    </rPh>
    <rPh sb="184" eb="186">
      <t>ガメン</t>
    </rPh>
    <rPh sb="187" eb="189">
      <t>ヒョウジ</t>
    </rPh>
    <phoneticPr fontId="11"/>
  </si>
  <si>
    <t>②実施後、DB「iw_ipmanagetbl」のIP制限有効設定（enable_flg）が0に更新されており、IPリスト（ip_list）は変更がないことを確認する。
③実施後、「ヒアーズミーにアクセスするIPアドレスを制限」チェックボックスがON、許可IPリストは①で設定した内容で、入力できない状態になっていることを確認。</t>
    <rPh sb="1" eb="4">
      <t>ジッシゴ</t>
    </rPh>
    <rPh sb="26" eb="28">
      <t>セイゲン</t>
    </rPh>
    <rPh sb="28" eb="32">
      <t>ユウコウセッテイ</t>
    </rPh>
    <rPh sb="47" eb="49">
      <t>コウシン</t>
    </rPh>
    <rPh sb="70" eb="72">
      <t>ヘンコウ</t>
    </rPh>
    <rPh sb="78" eb="80">
      <t>カクニン</t>
    </rPh>
    <rPh sb="86" eb="89">
      <t>ジッシゴ</t>
    </rPh>
    <rPh sb="111" eb="113">
      <t>セイゲン</t>
    </rPh>
    <rPh sb="126" eb="128">
      <t>キョカ</t>
    </rPh>
    <rPh sb="136" eb="138">
      <t>セッテイ</t>
    </rPh>
    <rPh sb="140" eb="142">
      <t>ナイヨウ</t>
    </rPh>
    <rPh sb="144" eb="146">
      <t>ニュウリョク</t>
    </rPh>
    <rPh sb="150" eb="152">
      <t>ジョウタイ</t>
    </rPh>
    <rPh sb="161" eb="163">
      <t>カクニン</t>
    </rPh>
    <phoneticPr fontId="11"/>
  </si>
  <si>
    <t>「データ（IP制限機能）」シート
【4】ログイン
試験No20</t>
    <phoneticPr fontId="11"/>
  </si>
  <si>
    <r>
      <t>{192.168.100.1_IP1,192.168.100.2_IP2,,…,192.168.100.18_IP18,192.168.100.19_IP19,</t>
    </r>
    <r>
      <rPr>
        <sz val="11"/>
        <color rgb="FF0066FF"/>
        <rFont val="ＭＳ Ｐゴシック"/>
        <family val="3"/>
        <charset val="128"/>
        <scheme val="minor"/>
      </rPr>
      <t>14.9.148.97</t>
    </r>
    <r>
      <rPr>
        <sz val="11"/>
        <color theme="1"/>
        <rFont val="ＭＳ Ｐゴシック"/>
        <family val="3"/>
        <charset val="128"/>
        <scheme val="minor"/>
      </rPr>
      <t>_本社IPアドレス}
(20個のIP情報のうち20個目で一致)</t>
    </r>
    <rPh sb="105" eb="106">
      <t>コ</t>
    </rPh>
    <rPh sb="109" eb="111">
      <t>ジョウホウ</t>
    </rPh>
    <rPh sb="116" eb="117">
      <t>コ</t>
    </rPh>
    <rPh sb="117" eb="118">
      <t>メ</t>
    </rPh>
    <rPh sb="119" eb="121">
      <t>イッチ</t>
    </rPh>
    <phoneticPr fontId="11"/>
  </si>
  <si>
    <r>
      <t>{192.168.100.1_IP1,192.168.100.2_IP2,…,</t>
    </r>
    <r>
      <rPr>
        <sz val="11"/>
        <color rgb="FF0066FF"/>
        <rFont val="ＭＳ Ｐゴシック"/>
        <family val="3"/>
        <charset val="128"/>
        <scheme val="minor"/>
      </rPr>
      <t>14.9.148.97</t>
    </r>
    <r>
      <rPr>
        <sz val="11"/>
        <color theme="1"/>
        <rFont val="ＭＳ Ｐゴシック"/>
        <family val="3"/>
        <charset val="128"/>
        <scheme val="minor"/>
      </rPr>
      <t>_本社IPアドレス,…,192.168.100.18_IP18,192.168.100.19_IP19,}
(20個のIP情報のうち10個目で一致)</t>
    </r>
    <rPh sb="107" eb="108">
      <t>コ</t>
    </rPh>
    <rPh sb="111" eb="113">
      <t>ジョウホウ</t>
    </rPh>
    <rPh sb="118" eb="119">
      <t>コ</t>
    </rPh>
    <rPh sb="119" eb="120">
      <t>メ</t>
    </rPh>
    <rPh sb="121" eb="123">
      <t>イッチ</t>
    </rPh>
    <phoneticPr fontId="11"/>
  </si>
  <si>
    <t>※レビュー指摘で追加</t>
    <phoneticPr fontId="11"/>
  </si>
  <si>
    <r>
      <t xml:space="preserve">IP制限リセット
</t>
    </r>
    <r>
      <rPr>
        <sz val="11"/>
        <color rgb="FFFF0000"/>
        <rFont val="ＭＳ Ｐゴシック"/>
        <family val="3"/>
        <charset val="128"/>
        <scheme val="minor"/>
      </rPr>
      <t>※レビュー指摘で追加</t>
    </r>
    <rPh sb="2" eb="4">
      <t>セイゲン</t>
    </rPh>
    <phoneticPr fontId="11"/>
  </si>
  <si>
    <r>
      <t xml:space="preserve">「許可するIPアドレス」リスト
「＋」(追加)ボタン操作
（IP設定可能数：30）
</t>
    </r>
    <r>
      <rPr>
        <sz val="11"/>
        <color rgb="FFFF0000"/>
        <rFont val="ＭＳ Ｐゴシック"/>
        <family val="3"/>
        <charset val="128"/>
        <scheme val="minor"/>
      </rPr>
      <t>※レビュー指摘で追加</t>
    </r>
    <rPh sb="26" eb="28">
      <t>ソウサ</t>
    </rPh>
    <rPh sb="48" eb="50">
      <t>シテキ</t>
    </rPh>
    <rPh sb="51" eb="53">
      <t>ツイカ</t>
    </rPh>
    <phoneticPr fontId="11"/>
  </si>
  <si>
    <r>
      <t xml:space="preserve">「許可するIPアドレス」リスト
「＋」(追加)ボタン操作
（IP設定可能数：10）
</t>
    </r>
    <r>
      <rPr>
        <sz val="11"/>
        <color rgb="FFFF0000"/>
        <rFont val="ＭＳ Ｐゴシック"/>
        <family val="3"/>
        <charset val="128"/>
        <scheme val="minor"/>
      </rPr>
      <t>※レビュー指摘で追加</t>
    </r>
    <rPh sb="26" eb="28">
      <t>ソウサ</t>
    </rPh>
    <rPh sb="48" eb="50">
      <t>シテキ</t>
    </rPh>
    <rPh sb="51" eb="53">
      <t>ツイカ</t>
    </rPh>
    <phoneticPr fontId="11"/>
  </si>
  <si>
    <t>① ヒアーズミー管理ツールの「セキュリティ」画面を開く。
② 「＋」(追加)ボタンをクリックし、空き行含めて30行まで増やす。
③ 30行の状態からさらに「＋」(追加)ボタンをクリックする。</t>
    <rPh sb="35" eb="37">
      <t>ツイカ</t>
    </rPh>
    <rPh sb="56" eb="57">
      <t>ギョウ</t>
    </rPh>
    <rPh sb="59" eb="60">
      <t>フ</t>
    </rPh>
    <rPh sb="68" eb="69">
      <t>ギョウ</t>
    </rPh>
    <rPh sb="70" eb="72">
      <t>ジョウタイ</t>
    </rPh>
    <rPh sb="81" eb="83">
      <t>ツイカ</t>
    </rPh>
    <phoneticPr fontId="11"/>
  </si>
  <si>
    <t>① ヒアーズミー管理ツールの「セキュリティ」画面を開く。
② 「＋」(追加)ボタンをクリックし、空き行含めて10行まで増やす。
③ 10行の状態からさらに「＋」(追加)ボタンをクリックする。</t>
    <rPh sb="35" eb="37">
      <t>ツイカ</t>
    </rPh>
    <rPh sb="48" eb="49">
      <t>ア</t>
    </rPh>
    <rPh sb="50" eb="52">
      <t>ギョウフク</t>
    </rPh>
    <rPh sb="56" eb="57">
      <t>ギョウ</t>
    </rPh>
    <rPh sb="59" eb="60">
      <t>フ</t>
    </rPh>
    <rPh sb="68" eb="69">
      <t>ギョウ</t>
    </rPh>
    <rPh sb="70" eb="72">
      <t>ジョウタイ</t>
    </rPh>
    <rPh sb="81" eb="83">
      <t>ツイカ</t>
    </rPh>
    <phoneticPr fontId="11"/>
  </si>
  <si>
    <t>①  ヒアーズミー管理ツールの「一括登録」画面を開く。
② 任意のcsvファイルを選択し、チェックを実行する。
(役職、拠点、所属は追加登録するデータがないこと）
③ サーバAPIを停止する。
④ 「サーバ保存」を実行する。</t>
    <rPh sb="57" eb="59">
      <t>ヤクショク</t>
    </rPh>
    <rPh sb="60" eb="62">
      <t>キョテン</t>
    </rPh>
    <rPh sb="63" eb="65">
      <t>ショゾク</t>
    </rPh>
    <rPh sb="66" eb="70">
      <t>ツイカトウロク</t>
    </rPh>
    <rPh sb="103" eb="105">
      <t>ホゾン</t>
    </rPh>
    <rPh sb="107" eb="109">
      <t>ジッコウ</t>
    </rPh>
    <phoneticPr fontId="11"/>
  </si>
  <si>
    <t>① 「データ（一括登録）」シートの「csvファイルのデータ」欄のデータを用意する。
② ヒアーズミー管理ツールの「ユーザ一括登録」画面で①で用意したファイルを選択し、「チェック開始」ボタンをクリックする。
③ 表示されたチェック結果表について、「チェックボックス」欄の通りON/OFFを設定し、「サーバ保存」ボタンをクリックする。</t>
    <rPh sb="50" eb="52">
      <t>カンリ</t>
    </rPh>
    <rPh sb="60" eb="64">
      <t>イッカツトウロク</t>
    </rPh>
    <rPh sb="70" eb="72">
      <t>ヨウイ</t>
    </rPh>
    <rPh sb="79" eb="81">
      <t>センタク</t>
    </rPh>
    <rPh sb="88" eb="90">
      <t>カイシ</t>
    </rPh>
    <rPh sb="105" eb="107">
      <t>ヒョウジ</t>
    </rPh>
    <rPh sb="132" eb="133">
      <t>ラン</t>
    </rPh>
    <rPh sb="134" eb="135">
      <t>トオ</t>
    </rPh>
    <rPh sb="143" eb="145">
      <t>セッテイ</t>
    </rPh>
    <phoneticPr fontId="11"/>
  </si>
  <si>
    <t>① ヒアーズミー管理ツールの「一括登録」画面を開く。
② エラー・要確認を含まないcsvファイルを選択して「チェック開始」を実行する。
③ 「サーバ保存」ボタンをクリックする。</t>
    <rPh sb="33" eb="36">
      <t>ヨウカクニン</t>
    </rPh>
    <rPh sb="37" eb="38">
      <t>フク</t>
    </rPh>
    <rPh sb="62" eb="64">
      <t>ジッコウ</t>
    </rPh>
    <phoneticPr fontId="11"/>
  </si>
  <si>
    <t>①  ヒアーズミー管理ツールの「一括登録」画面を開く。
② 役職を追加登録するデータを含むcsvファイルを選択し、チェックを実行し、チェック結果表の該当データの行のチェックボックスをONにする。
③ DBテーブル「iw_classtbl」をリネームする。
④ 「サーバ保存」を実行する。</t>
    <rPh sb="30" eb="32">
      <t>ヤクショク</t>
    </rPh>
    <rPh sb="33" eb="35">
      <t>ツイカ</t>
    </rPh>
    <rPh sb="35" eb="37">
      <t>トウロク</t>
    </rPh>
    <rPh sb="43" eb="44">
      <t>フク</t>
    </rPh>
    <rPh sb="70" eb="73">
      <t>ケッカヒョウ</t>
    </rPh>
    <rPh sb="138" eb="140">
      <t>ジッコウ</t>
    </rPh>
    <phoneticPr fontId="11"/>
  </si>
  <si>
    <t>①  ヒアーズミー管理ツールの「一括登録」画面を開く。
② 役職を追加登録するデータを含むcsvファイルを選択し、チェックを実行し、チェック結果表の該当データの行のチェックボックスをONにする。
③ サーバAPIを停止する。
④ 「サーバ保存」を実行する。</t>
    <rPh sb="30" eb="32">
      <t>ヤクショク</t>
    </rPh>
    <rPh sb="33" eb="35">
      <t>ツイカ</t>
    </rPh>
    <rPh sb="35" eb="37">
      <t>トウロク</t>
    </rPh>
    <rPh sb="43" eb="44">
      <t>フク</t>
    </rPh>
    <rPh sb="70" eb="73">
      <t>ケッカヒョウ</t>
    </rPh>
    <rPh sb="123" eb="125">
      <t>ジッコウ</t>
    </rPh>
    <phoneticPr fontId="11"/>
  </si>
  <si>
    <t>①  ヒアーズミー管理ツールの「一括登録」画面を開く。
② 拠点を追加登録するデータを含むcsvファイルを選択し、チェックを実行し、チェック結果表の該当データの行のチェックボックスをONにする。
③ DBテーブル「iw_sectiontbl」をリネームする。
④ 「サーバ保存」を実行する。</t>
    <rPh sb="30" eb="32">
      <t>キョテン</t>
    </rPh>
    <rPh sb="33" eb="35">
      <t>ツイカ</t>
    </rPh>
    <rPh sb="35" eb="37">
      <t>トウロク</t>
    </rPh>
    <rPh sb="43" eb="44">
      <t>フク</t>
    </rPh>
    <rPh sb="70" eb="73">
      <t>ケッカヒョウ</t>
    </rPh>
    <rPh sb="140" eb="142">
      <t>ジッコウ</t>
    </rPh>
    <phoneticPr fontId="11"/>
  </si>
  <si>
    <t>①  ヒアーズミー管理ツールの「一括登録」画面を開く。
② 拠点を追加登録するデータを含むcsvファイルを選択し、チェックを実行し、チェック結果表の該当データの行のチェックボックスをONにする。
(役職は追加登録するデータがないこと）
③ サーバAPIを停止する。
④ 「サーバ保存」を実行する。</t>
    <rPh sb="30" eb="32">
      <t>キョテン</t>
    </rPh>
    <rPh sb="33" eb="35">
      <t>ツイカ</t>
    </rPh>
    <rPh sb="35" eb="37">
      <t>トウロク</t>
    </rPh>
    <rPh sb="43" eb="44">
      <t>フク</t>
    </rPh>
    <rPh sb="70" eb="73">
      <t>ケッカヒョウ</t>
    </rPh>
    <rPh sb="99" eb="101">
      <t>ヤクショク</t>
    </rPh>
    <rPh sb="102" eb="106">
      <t>ツイカトウロク</t>
    </rPh>
    <rPh sb="143" eb="145">
      <t>ジッコウ</t>
    </rPh>
    <phoneticPr fontId="11"/>
  </si>
  <si>
    <t>①  ヒアーズミー管理ツールの「一括登録」画面を開く。
② 所属を追加登録するデータを含むcsvファイルを選択し、チェックを実行し、チェック結果表の該当データの行のチェックボックスをONにする。
③ DBテーブル「iw_grouptbl」をリネームする。
④ 「サーバ保存」を実行する。</t>
    <rPh sb="30" eb="32">
      <t>ショゾク</t>
    </rPh>
    <rPh sb="33" eb="35">
      <t>ツイカ</t>
    </rPh>
    <rPh sb="35" eb="37">
      <t>トウロク</t>
    </rPh>
    <rPh sb="43" eb="44">
      <t>フク</t>
    </rPh>
    <rPh sb="70" eb="73">
      <t>ケッカヒョウ</t>
    </rPh>
    <rPh sb="138" eb="140">
      <t>ジッコウ</t>
    </rPh>
    <phoneticPr fontId="11"/>
  </si>
  <si>
    <t>①  ヒアーズミー管理ツールの「一括登録」画面を開く。
② 所属を追加登録するデータを含むcsvファイルを選択し、チェックを実行し、チェック結果表の該当データの行のチェックボックスをONにする。
(役職、拠点は追加登録するデータがないこと）
③ サーバAPIを停止する。
④ 「サーバ保存」を実行する。</t>
    <rPh sb="30" eb="32">
      <t>ショゾク</t>
    </rPh>
    <rPh sb="33" eb="35">
      <t>ツイカ</t>
    </rPh>
    <rPh sb="35" eb="37">
      <t>トウロク</t>
    </rPh>
    <rPh sb="43" eb="44">
      <t>フク</t>
    </rPh>
    <rPh sb="70" eb="73">
      <t>ケッカヒョウ</t>
    </rPh>
    <rPh sb="99" eb="101">
      <t>ヤクショク</t>
    </rPh>
    <rPh sb="102" eb="104">
      <t>キョテン</t>
    </rPh>
    <rPh sb="105" eb="109">
      <t>ツイカトウロク</t>
    </rPh>
    <rPh sb="146" eb="148">
      <t>ジッコウ</t>
    </rPh>
    <phoneticPr fontId="11"/>
  </si>
  <si>
    <t>①  ヒアーズミー管理ツールの「一括登録」画面を開く。
② 任意のcsvファイルを選択し、チェックを実行する。
③ DBテーブル「iw_usertbl」をリネームする。
④ 「サーバ保存」を実行する。</t>
    <rPh sb="91" eb="93">
      <t>ホゾン</t>
    </rPh>
    <rPh sb="95" eb="97">
      <t>ジッコウ</t>
    </rPh>
    <phoneticPr fontId="11"/>
  </si>
  <si>
    <t xml:space="preserve">
→
「サーバ保存」
クリック後</t>
    <rPh sb="9" eb="11">
      <t>ホゾン</t>
    </rPh>
    <rPh sb="17" eb="18">
      <t>ゴ</t>
    </rPh>
    <phoneticPr fontId="11"/>
  </si>
  <si>
    <t>.Csv</t>
    <phoneticPr fontId="11"/>
  </si>
  <si>
    <t>「データ（一括登録）」シート
【1】ファイル選択
試験No5</t>
    <rPh sb="25" eb="27">
      <t>シケン</t>
    </rPh>
    <phoneticPr fontId="11"/>
  </si>
  <si>
    <t>＜追加＞
「ユーザ情報」画面 複数選択削除</t>
    <rPh sb="1" eb="3">
      <t>ツイカ</t>
    </rPh>
    <rPh sb="9" eb="11">
      <t>ジョウホウ</t>
    </rPh>
    <rPh sb="12" eb="14">
      <t>ガメン</t>
    </rPh>
    <rPh sb="15" eb="17">
      <t>フクスウ</t>
    </rPh>
    <rPh sb="17" eb="19">
      <t>センタク</t>
    </rPh>
    <rPh sb="19" eb="21">
      <t>サクジョ</t>
    </rPh>
    <phoneticPr fontId="7"/>
  </si>
  <si>
    <t>&lt;削除&gt;
ユーザ数：5
選択行：1</t>
    <rPh sb="1" eb="3">
      <t>サクジョ</t>
    </rPh>
    <rPh sb="8" eb="9">
      <t>スウ</t>
    </rPh>
    <rPh sb="12" eb="14">
      <t>センタク</t>
    </rPh>
    <rPh sb="14" eb="15">
      <t>ギョウ</t>
    </rPh>
    <phoneticPr fontId="11"/>
  </si>
  <si>
    <t>&lt;削除&gt;
ユーザ数：5
選択行：1,3,5</t>
    <phoneticPr fontId="11"/>
  </si>
  <si>
    <t>&lt;削除&gt;
ユーザ数：5
選択行：全選択</t>
    <rPh sb="16" eb="19">
      <t>ゼンセンタク</t>
    </rPh>
    <phoneticPr fontId="11"/>
  </si>
  <si>
    <t>&lt;削除&gt;
ユーザ数：5
選択行：選択しない</t>
    <rPh sb="16" eb="18">
      <t>センタク</t>
    </rPh>
    <phoneticPr fontId="11"/>
  </si>
  <si>
    <t>&lt;編集&gt;
ユーザ数：5
選択行：3</t>
    <rPh sb="1" eb="3">
      <t>ヘンシュウ</t>
    </rPh>
    <rPh sb="8" eb="9">
      <t>スウ</t>
    </rPh>
    <rPh sb="12" eb="15">
      <t>センタクギョウ</t>
    </rPh>
    <phoneticPr fontId="11"/>
  </si>
  <si>
    <t>&lt;編集&gt;
ユーザ数：5
選択行：1,3</t>
    <rPh sb="1" eb="3">
      <t>ヘンシュウ</t>
    </rPh>
    <rPh sb="8" eb="9">
      <t>スウ</t>
    </rPh>
    <rPh sb="12" eb="15">
      <t>センタクギョウ</t>
    </rPh>
    <phoneticPr fontId="11"/>
  </si>
  <si>
    <t>&lt;編集&gt;
ユーザ数：5
選択行：選択しない</t>
    <rPh sb="1" eb="3">
      <t>ヘンシュウ</t>
    </rPh>
    <rPh sb="8" eb="9">
      <t>スウ</t>
    </rPh>
    <rPh sb="12" eb="15">
      <t>センタクギョウ</t>
    </rPh>
    <rPh sb="16" eb="18">
      <t>センタク</t>
    </rPh>
    <phoneticPr fontId="11"/>
  </si>
  <si>
    <t>&lt;新規&gt;
ユーザ数：5
選択行：3,5</t>
    <rPh sb="1" eb="3">
      <t>シンキ</t>
    </rPh>
    <rPh sb="8" eb="9">
      <t>スウ</t>
    </rPh>
    <rPh sb="12" eb="15">
      <t>センタクギョウ</t>
    </rPh>
    <phoneticPr fontId="11"/>
  </si>
  <si>
    <t>① ヒアーズミー管理ツールの「ユーザ情報」画面を開く。
② 試験条件欄の「選択行」で指定されている行を選択し、「削除」ボタンをクリックする。
③ 「サーバ保存」ボタンをクリックする。</t>
    <rPh sb="8" eb="10">
      <t>カンリ</t>
    </rPh>
    <rPh sb="18" eb="20">
      <t>ジョウホウ</t>
    </rPh>
    <rPh sb="21" eb="23">
      <t>ガメン</t>
    </rPh>
    <rPh sb="24" eb="25">
      <t>ヒラ</t>
    </rPh>
    <rPh sb="30" eb="34">
      <t>シケンジョウケン</t>
    </rPh>
    <rPh sb="34" eb="35">
      <t>ラン</t>
    </rPh>
    <rPh sb="37" eb="40">
      <t>センタクギョウ</t>
    </rPh>
    <rPh sb="42" eb="44">
      <t>シテイ</t>
    </rPh>
    <rPh sb="49" eb="50">
      <t>ギョウ</t>
    </rPh>
    <rPh sb="51" eb="53">
      <t>センタク</t>
    </rPh>
    <rPh sb="56" eb="58">
      <t>サクジョ</t>
    </rPh>
    <rPh sb="78" eb="80">
      <t>ホゾン</t>
    </rPh>
    <phoneticPr fontId="11"/>
  </si>
  <si>
    <t>②実施後、ユーザ一覧表から選択した行のデータが削除されることを確認。
③実施後、DBから選択した行のデータが削除されることを確認。（それ以外のデータに変更はないこと）</t>
    <rPh sb="1" eb="4">
      <t>ジッシゴ</t>
    </rPh>
    <rPh sb="8" eb="11">
      <t>イチランヒョウ</t>
    </rPh>
    <rPh sb="13" eb="15">
      <t>センタク</t>
    </rPh>
    <rPh sb="17" eb="18">
      <t>ギョウ</t>
    </rPh>
    <rPh sb="23" eb="25">
      <t>サクジョ</t>
    </rPh>
    <rPh sb="31" eb="33">
      <t>カクニン</t>
    </rPh>
    <rPh sb="37" eb="40">
      <t>ジッシゴ</t>
    </rPh>
    <rPh sb="45" eb="47">
      <t>センタク</t>
    </rPh>
    <rPh sb="49" eb="50">
      <t>ギョウ</t>
    </rPh>
    <rPh sb="55" eb="57">
      <t>サクジョ</t>
    </rPh>
    <rPh sb="63" eb="65">
      <t>カクニン</t>
    </rPh>
    <rPh sb="69" eb="71">
      <t>イガイ</t>
    </rPh>
    <rPh sb="76" eb="78">
      <t>ヘンコウ</t>
    </rPh>
    <phoneticPr fontId="11"/>
  </si>
  <si>
    <t>① ヒアーズミー管理ツールの「ユーザ情報」画面を開く。
② 試験条件欄の「選択行」で指定されている行を選択し、「削除」ボタンをクリックする。</t>
    <phoneticPr fontId="11"/>
  </si>
  <si>
    <t>データが選択されていない旨のエラーメッセージが表示されることを確認。</t>
    <rPh sb="4" eb="6">
      <t>センタク</t>
    </rPh>
    <rPh sb="12" eb="13">
      <t>ムネ</t>
    </rPh>
    <rPh sb="23" eb="25">
      <t>ヒョウジ</t>
    </rPh>
    <rPh sb="31" eb="33">
      <t>カクニン</t>
    </rPh>
    <phoneticPr fontId="11"/>
  </si>
  <si>
    <t>① ヒアーズミー管理ツールの「ユーザ情報」画面を開く。
② 試験条件欄の「選択行」で指定されている行を選択し、「編集」ボタンをクリックする。
③ 詳細ダイアログにて任意のデータを変更し、「サーバ保存」ボタンをクリックする。</t>
    <rPh sb="8" eb="10">
      <t>カンリ</t>
    </rPh>
    <rPh sb="18" eb="20">
      <t>ジョウホウ</t>
    </rPh>
    <rPh sb="21" eb="23">
      <t>ガメン</t>
    </rPh>
    <rPh sb="24" eb="25">
      <t>ヒラ</t>
    </rPh>
    <rPh sb="30" eb="34">
      <t>シケンジョウケン</t>
    </rPh>
    <rPh sb="34" eb="35">
      <t>ラン</t>
    </rPh>
    <rPh sb="37" eb="40">
      <t>センタクギョウ</t>
    </rPh>
    <rPh sb="42" eb="44">
      <t>シテイ</t>
    </rPh>
    <rPh sb="49" eb="50">
      <t>ギョウ</t>
    </rPh>
    <rPh sb="51" eb="53">
      <t>センタク</t>
    </rPh>
    <rPh sb="56" eb="58">
      <t>ヘンシュウ</t>
    </rPh>
    <rPh sb="74" eb="76">
      <t>ショウサイ</t>
    </rPh>
    <rPh sb="83" eb="85">
      <t>ニンイ</t>
    </rPh>
    <rPh sb="90" eb="92">
      <t>ヘンコウ</t>
    </rPh>
    <rPh sb="98" eb="100">
      <t>ホゾン</t>
    </rPh>
    <phoneticPr fontId="11"/>
  </si>
  <si>
    <t>① ヒアーズミー管理ツールの「ユーザ情報」画面を開く。
② 試験条件欄の「選択行」で指定されている行を選択し、「編集」ボタンをクリックする。</t>
    <phoneticPr fontId="11"/>
  </si>
  <si>
    <t>複数データ選択不可のエラーメッセージが表示されることを確認。</t>
    <rPh sb="0" eb="2">
      <t>フクスウ</t>
    </rPh>
    <rPh sb="5" eb="7">
      <t>センタク</t>
    </rPh>
    <rPh sb="7" eb="9">
      <t>フカ</t>
    </rPh>
    <rPh sb="19" eb="21">
      <t>ヒョウジ</t>
    </rPh>
    <rPh sb="27" eb="29">
      <t>カクニン</t>
    </rPh>
    <phoneticPr fontId="11"/>
  </si>
  <si>
    <t>&lt;操作組み合わせ&gt;
追加
削除
更新
並べ替え</t>
    <rPh sb="1" eb="3">
      <t>ソウサ</t>
    </rPh>
    <rPh sb="3" eb="4">
      <t>ク</t>
    </rPh>
    <rPh sb="5" eb="6">
      <t>ア</t>
    </rPh>
    <rPh sb="13" eb="15">
      <t>サクジョ</t>
    </rPh>
    <rPh sb="16" eb="18">
      <t>コウシン</t>
    </rPh>
    <rPh sb="19" eb="20">
      <t>ナラ</t>
    </rPh>
    <rPh sb="21" eb="22">
      <t>カ</t>
    </rPh>
    <phoneticPr fontId="11"/>
  </si>
  <si>
    <t>① ヒアーズミー管理ツールの「ユーザ情報」画面を開く。
② 試験条件欄の「選択行」で指定されている行を選択し、「新規」ボタンをクリックする。
③ 新規追加ダイアログにて任意のデータを入力し、「サーバ保存」ボタンをクリックする。</t>
    <rPh sb="56" eb="58">
      <t>シンキ</t>
    </rPh>
    <rPh sb="74" eb="76">
      <t>シンキ</t>
    </rPh>
    <rPh sb="76" eb="78">
      <t>ツイカ</t>
    </rPh>
    <rPh sb="92" eb="94">
      <t>ニュウリョク</t>
    </rPh>
    <phoneticPr fontId="11"/>
  </si>
  <si>
    <t>②実施後、選択した行のデータの詳細ダイアログが開くことを確認。
③実施後、選択した行のDBデータが、変更した内容で更新されていることを確認。（それ以外のデータに変更はないこと）</t>
    <rPh sb="1" eb="4">
      <t>ジッシゴ</t>
    </rPh>
    <rPh sb="5" eb="7">
      <t>センタク</t>
    </rPh>
    <rPh sb="9" eb="10">
      <t>ギョウ</t>
    </rPh>
    <rPh sb="15" eb="17">
      <t>ショウサイ</t>
    </rPh>
    <rPh sb="34" eb="37">
      <t>ジッシゴ</t>
    </rPh>
    <rPh sb="38" eb="40">
      <t>センタク</t>
    </rPh>
    <rPh sb="42" eb="43">
      <t>ギョウ</t>
    </rPh>
    <rPh sb="51" eb="53">
      <t>ヘンコウ</t>
    </rPh>
    <rPh sb="55" eb="57">
      <t>ナイヨウ</t>
    </rPh>
    <rPh sb="58" eb="60">
      <t>コウシン</t>
    </rPh>
    <rPh sb="68" eb="70">
      <t>カクニン</t>
    </rPh>
    <rPh sb="74" eb="76">
      <t>イガイ</t>
    </rPh>
    <rPh sb="81" eb="83">
      <t>ヘンコウ</t>
    </rPh>
    <phoneticPr fontId="11"/>
  </si>
  <si>
    <t>②実施後、選択した行に関わらず、新規追加ダイアログ（入力フォームは全て空またはデフォルト状態）が開くことを確認。
③実施後、入力したデータがDBに追加されていることを確認。（それ以外のデータに変更はないこと）</t>
    <rPh sb="1" eb="4">
      <t>ジッシゴ</t>
    </rPh>
    <rPh sb="5" eb="7">
      <t>センタク</t>
    </rPh>
    <rPh sb="9" eb="10">
      <t>ギョウ</t>
    </rPh>
    <rPh sb="11" eb="12">
      <t>カカ</t>
    </rPh>
    <rPh sb="16" eb="20">
      <t>シンキツイカ</t>
    </rPh>
    <rPh sb="26" eb="28">
      <t>ニュウリョク</t>
    </rPh>
    <rPh sb="33" eb="34">
      <t>スベ</t>
    </rPh>
    <rPh sb="35" eb="36">
      <t>カラ</t>
    </rPh>
    <rPh sb="44" eb="46">
      <t>ジョウタイ</t>
    </rPh>
    <rPh sb="59" eb="62">
      <t>ジッシゴ</t>
    </rPh>
    <rPh sb="63" eb="65">
      <t>ニュウリョク</t>
    </rPh>
    <rPh sb="74" eb="76">
      <t>ツイカ</t>
    </rPh>
    <rPh sb="84" eb="86">
      <t>カクニン</t>
    </rPh>
    <rPh sb="90" eb="92">
      <t>イガイ</t>
    </rPh>
    <rPh sb="97" eb="99">
      <t>ヘンコウ</t>
    </rPh>
    <phoneticPr fontId="11"/>
  </si>
  <si>
    <t>① ヒアーズミー管理ツールの「ユーザ情報」画面を開く。
② 「新規」ボタンをクリックし、任意のデータを追加する。
③ 任意のデータを複数選択し、「削除」ボタンをクリックする。
④ 任意のデータを選択し、「編集」ボタンをクリックしてデータを変更する。
⑤ 任意のデータをドラッグ＆ドロップで順番を入れ替える。
⑥ 「サーバ保存」ボタンをクリックする。</t>
    <rPh sb="31" eb="33">
      <t>シンキ</t>
    </rPh>
    <rPh sb="44" eb="46">
      <t>ニンイ</t>
    </rPh>
    <rPh sb="51" eb="53">
      <t>ツイカ</t>
    </rPh>
    <rPh sb="59" eb="61">
      <t>ニンイ</t>
    </rPh>
    <rPh sb="66" eb="70">
      <t>フクスウセンタク</t>
    </rPh>
    <rPh sb="73" eb="75">
      <t>サクジョ</t>
    </rPh>
    <rPh sb="90" eb="92">
      <t>ニンイ</t>
    </rPh>
    <phoneticPr fontId="11"/>
  </si>
  <si>
    <t>DBのデータが、最終的なユーザ一覧のデータに更新されていることを確認。</t>
    <rPh sb="8" eb="11">
      <t>サイシュウテキ</t>
    </rPh>
    <rPh sb="15" eb="17">
      <t>イチラン</t>
    </rPh>
    <rPh sb="22" eb="24">
      <t>コウシン</t>
    </rPh>
    <rPh sb="32" eb="34">
      <t>カクニン</t>
    </rPh>
    <phoneticPr fontId="11"/>
  </si>
  <si>
    <t>神(洋)</t>
    <rPh sb="0" eb="4">
      <t>ジン</t>
    </rPh>
    <phoneticPr fontId="11"/>
  </si>
  <si>
    <t>OK</t>
    <phoneticPr fontId="11"/>
  </si>
  <si>
    <t>DB「iw_usertbl」（ユーザ情報テーブル）</t>
    <rPh sb="18" eb="20">
      <t>ジョウホウ</t>
    </rPh>
    <phoneticPr fontId="11"/>
  </si>
  <si>
    <t>&lt;PCブラウザ&gt;
クライアントバージョン：2.7.0
試験No1
ログイン方法→ID/パスワード入力</t>
    <rPh sb="27" eb="29">
      <t>シケン</t>
    </rPh>
    <rPh sb="37" eb="39">
      <t>ホウホウ</t>
    </rPh>
    <rPh sb="48" eb="50">
      <t>ニュウリョク</t>
    </rPh>
    <phoneticPr fontId="7"/>
  </si>
  <si>
    <t>&lt;PCブラウザ&gt;
クライアントバージョン：2.7.0
試験No2
ログイン方法→ID/パスワード入力</t>
    <rPh sb="27" eb="29">
      <t>シケン</t>
    </rPh>
    <rPh sb="37" eb="39">
      <t>ホウホウ</t>
    </rPh>
    <rPh sb="48" eb="50">
      <t>ニュウリョク</t>
    </rPh>
    <phoneticPr fontId="7"/>
  </si>
  <si>
    <t>&lt;PCブラウザ&gt;
クライアントバージョン：2.7.0
試験No3
ログイン方法→ID/パスワード入力</t>
    <rPh sb="27" eb="29">
      <t>シケン</t>
    </rPh>
    <rPh sb="37" eb="39">
      <t>ホウホウ</t>
    </rPh>
    <rPh sb="48" eb="50">
      <t>ニュウリョク</t>
    </rPh>
    <phoneticPr fontId="7"/>
  </si>
  <si>
    <t>&lt;PCブラウザ&gt;
クライアントバージョン：2.7.0
試験No4
ログイン方法→ID/パスワード入力</t>
    <rPh sb="27" eb="29">
      <t>シケン</t>
    </rPh>
    <rPh sb="37" eb="39">
      <t>ホウホウ</t>
    </rPh>
    <rPh sb="48" eb="50">
      <t>ニュウリョク</t>
    </rPh>
    <phoneticPr fontId="7"/>
  </si>
  <si>
    <t>&lt;PCブラウザ&gt;
クライアントバージョン：2.7.0
試験No5
ログイン方法→ID/パスワード入力</t>
    <rPh sb="27" eb="29">
      <t>シケン</t>
    </rPh>
    <rPh sb="37" eb="39">
      <t>ホウホウ</t>
    </rPh>
    <rPh sb="48" eb="50">
      <t>ニュウリョク</t>
    </rPh>
    <phoneticPr fontId="7"/>
  </si>
  <si>
    <t>&lt;PCブラウザ&gt;
クライアントバージョン：2.7.0
試験No6
ログイン方法→ID/パスワード入力</t>
    <rPh sb="27" eb="29">
      <t>シケン</t>
    </rPh>
    <rPh sb="37" eb="39">
      <t>ホウホウ</t>
    </rPh>
    <rPh sb="48" eb="50">
      <t>ニュウリョク</t>
    </rPh>
    <phoneticPr fontId="7"/>
  </si>
  <si>
    <t>&lt;PCブラウザ&gt;
クライアントバージョン：2.7.0
試験No7
ログイン方法→ID/パスワード入力</t>
    <rPh sb="27" eb="29">
      <t>シケン</t>
    </rPh>
    <rPh sb="37" eb="39">
      <t>ホウホウ</t>
    </rPh>
    <rPh sb="48" eb="50">
      <t>ニュウリョク</t>
    </rPh>
    <phoneticPr fontId="7"/>
  </si>
  <si>
    <t>&lt;PCブラウザ&gt;
クライアントバージョン：2.7.0
試験No8
ログイン方法→ID/パスワード入力</t>
    <rPh sb="27" eb="29">
      <t>シケン</t>
    </rPh>
    <rPh sb="37" eb="39">
      <t>ホウホウ</t>
    </rPh>
    <rPh sb="48" eb="50">
      <t>ニュウリョク</t>
    </rPh>
    <phoneticPr fontId="7"/>
  </si>
  <si>
    <t>&lt;PCブラウザ&gt;
クライアントバージョン：2.7.0
試験No9
ログイン方法→ID/パスワード入力</t>
    <rPh sb="27" eb="29">
      <t>シケン</t>
    </rPh>
    <rPh sb="37" eb="39">
      <t>ホウホウ</t>
    </rPh>
    <rPh sb="48" eb="50">
      <t>ニュウリョク</t>
    </rPh>
    <phoneticPr fontId="7"/>
  </si>
  <si>
    <t>&lt;PCブラウザ&gt;
クライアントバージョン：2.7.0
試験No10
ログイン方法→ID/パスワード入力</t>
    <rPh sb="27" eb="29">
      <t>シケン</t>
    </rPh>
    <rPh sb="38" eb="40">
      <t>ホウホウ</t>
    </rPh>
    <rPh sb="49" eb="51">
      <t>ニュウリョク</t>
    </rPh>
    <phoneticPr fontId="7"/>
  </si>
  <si>
    <t>&lt;PCブラウザ&gt;
クライアントバージョン：2.7.0
試験No11
ログイン方法→ID/パスワード入力</t>
    <rPh sb="27" eb="29">
      <t>シケン</t>
    </rPh>
    <rPh sb="38" eb="40">
      <t>ホウホウ</t>
    </rPh>
    <rPh sb="49" eb="51">
      <t>ニュウリョク</t>
    </rPh>
    <phoneticPr fontId="7"/>
  </si>
  <si>
    <t>&lt;PCブラウザ&gt;
クライアントバージョン：2.7.0
試験No12
ログイン方法→ID/パスワード入力</t>
    <rPh sb="27" eb="29">
      <t>シケン</t>
    </rPh>
    <rPh sb="38" eb="40">
      <t>ホウホウ</t>
    </rPh>
    <rPh sb="49" eb="51">
      <t>ニュウリョク</t>
    </rPh>
    <phoneticPr fontId="7"/>
  </si>
  <si>
    <t>&lt;PCブラウザ&gt;
クライアントバージョン：2.7.0
試験No13
ログイン方法→ID/パスワード入力</t>
    <rPh sb="27" eb="29">
      <t>シケン</t>
    </rPh>
    <rPh sb="38" eb="40">
      <t>ホウホウ</t>
    </rPh>
    <rPh sb="49" eb="51">
      <t>ニュウリョク</t>
    </rPh>
    <phoneticPr fontId="7"/>
  </si>
  <si>
    <t>&lt;PCブラウザ&gt;
クライアントバージョン：2.7.0
試験No14
ログイン方法→ID/パスワード入力</t>
    <rPh sb="27" eb="29">
      <t>シケン</t>
    </rPh>
    <rPh sb="38" eb="40">
      <t>ホウホウ</t>
    </rPh>
    <rPh sb="49" eb="51">
      <t>ニュウリョク</t>
    </rPh>
    <phoneticPr fontId="7"/>
  </si>
  <si>
    <t>&lt;PCブラウザ&gt;
クライアントバージョン：2.7.0
試験No15
ログイン方法→ID/パスワード入力</t>
    <rPh sb="27" eb="29">
      <t>シケン</t>
    </rPh>
    <rPh sb="38" eb="40">
      <t>ホウホウ</t>
    </rPh>
    <rPh sb="49" eb="51">
      <t>ニュウリョク</t>
    </rPh>
    <phoneticPr fontId="7"/>
  </si>
  <si>
    <t>&lt;PCブラウザ&gt;
クライアントバージョン：2.7.0
試験No16
ログイン方法→ID/パスワード入力</t>
    <rPh sb="27" eb="29">
      <t>シケン</t>
    </rPh>
    <rPh sb="38" eb="40">
      <t>ホウホウ</t>
    </rPh>
    <rPh sb="49" eb="51">
      <t>ニュウリョク</t>
    </rPh>
    <phoneticPr fontId="7"/>
  </si>
  <si>
    <t>&lt;PCブラウザ&gt;
クライアントバージョン：2.7.0
試験No17
ログイン方法→ID/パスワード入力</t>
    <rPh sb="27" eb="29">
      <t>シケン</t>
    </rPh>
    <rPh sb="38" eb="40">
      <t>ホウホウ</t>
    </rPh>
    <rPh sb="49" eb="51">
      <t>ニュウリョク</t>
    </rPh>
    <phoneticPr fontId="7"/>
  </si>
  <si>
    <t>&lt;PCブラウザ&gt;
クライアントバージョン：2.7.0
試験No18
ログイン方法→ID/パスワード入力</t>
    <rPh sb="27" eb="29">
      <t>シケン</t>
    </rPh>
    <rPh sb="38" eb="40">
      <t>ホウホウ</t>
    </rPh>
    <rPh sb="49" eb="51">
      <t>ニュウリョク</t>
    </rPh>
    <phoneticPr fontId="7"/>
  </si>
  <si>
    <t>&lt;PCブラウザ&gt;
クライアントバージョン：2.7.0
試験No19
ログイン方法→ID/パスワード入力</t>
    <rPh sb="27" eb="29">
      <t>シケン</t>
    </rPh>
    <rPh sb="38" eb="40">
      <t>ホウホウ</t>
    </rPh>
    <rPh sb="49" eb="51">
      <t>ニュウリョク</t>
    </rPh>
    <phoneticPr fontId="7"/>
  </si>
  <si>
    <t>&lt;PCブラウザ&gt;
クライアントバージョン：2.7.0
試験No20
ログイン方法→ID/パスワード入力</t>
    <rPh sb="27" eb="29">
      <t>シケン</t>
    </rPh>
    <rPh sb="38" eb="40">
      <t>ホウホウ</t>
    </rPh>
    <rPh sb="49" eb="51">
      <t>ニュウリョク</t>
    </rPh>
    <phoneticPr fontId="7"/>
  </si>
  <si>
    <t>&lt;PCブラウザ（旧バージョン）&gt;
クライアントバージョン：2.6.3
試験No12
ログイン方法→任意</t>
    <rPh sb="35" eb="37">
      <t>シケン</t>
    </rPh>
    <phoneticPr fontId="7"/>
  </si>
  <si>
    <t>&lt;PCブラウザ（旧バージョン）&gt;
クライアントバージョン：2.6.3
試験No1
ログイン方法→任意</t>
    <rPh sb="35" eb="37">
      <t>シケン</t>
    </rPh>
    <phoneticPr fontId="7"/>
  </si>
  <si>
    <t>&lt;PCブラウザ（旧バージョン）&gt;
クライアントバージョン：2.6.3
試験No2
ログイン方法→任意</t>
    <phoneticPr fontId="7"/>
  </si>
  <si>
    <t>&lt;PCブラウザ（トークン）&gt;
クライアントバージョン：2.7.0
試験No1
ログイン方法→トークン</t>
    <rPh sb="33" eb="35">
      <t>シケン</t>
    </rPh>
    <phoneticPr fontId="7"/>
  </si>
  <si>
    <t>&lt;PCブラウザ（トークン）&gt;
クライアントバージョン：2.7.0
試験No2
ログイン方法→トークン</t>
    <rPh sb="33" eb="35">
      <t>シケン</t>
    </rPh>
    <phoneticPr fontId="7"/>
  </si>
  <si>
    <t>&lt;PCブラウザ（トークン）&gt;
クライアントバージョン：2.7.0
試験No12
ログイン方法→トークン</t>
    <rPh sb="33" eb="35">
      <t>シケン</t>
    </rPh>
    <phoneticPr fontId="7"/>
  </si>
  <si>
    <t>&lt;Androidアプリ&gt;
クライアントバージョン：2.7.0
試験No1
ログイン方法→ID/パスワード</t>
    <rPh sb="31" eb="33">
      <t>シケン</t>
    </rPh>
    <rPh sb="41" eb="43">
      <t>ホウホウ</t>
    </rPh>
    <phoneticPr fontId="7"/>
  </si>
  <si>
    <t>&lt;Androidアプリ&gt;
クライアントバージョン：2.7.0
試験No2
ログイン方法→ID/パスワード</t>
    <rPh sb="31" eb="33">
      <t>シケン</t>
    </rPh>
    <phoneticPr fontId="7"/>
  </si>
  <si>
    <t>&lt;Androidアプリ&gt;
クライアントバージョン：2.7.0
試験No12
ログイン方法→ID/パスワード</t>
    <rPh sb="31" eb="33">
      <t>シケン</t>
    </rPh>
    <phoneticPr fontId="7"/>
  </si>
  <si>
    <t>&lt;Androidアプリ(トークン)&gt;
クライアントバージョン：2.7.0
試験No1
ログイン方法→トークン</t>
    <rPh sb="37" eb="39">
      <t>シケン</t>
    </rPh>
    <rPh sb="47" eb="49">
      <t>ホウホウ</t>
    </rPh>
    <phoneticPr fontId="7"/>
  </si>
  <si>
    <t>&lt;Androidアプリ(トークン)&gt;
クライアントバージョン：2.7.0
試験No2
ログイン方法→トークン</t>
    <rPh sb="37" eb="39">
      <t>シケン</t>
    </rPh>
    <phoneticPr fontId="7"/>
  </si>
  <si>
    <t>&lt;Androidアプリ(トークン)&gt;
クライアントバージョン：2.7.0
試験No12
ログイン方法→トークン</t>
    <rPh sb="37" eb="39">
      <t>シケン</t>
    </rPh>
    <phoneticPr fontId="7"/>
  </si>
  <si>
    <t>&lt;Androidアプリ（旧バージョン）&gt;
クライアントバージョン：2.6.3
試験No1
ログイン方法→任意</t>
    <rPh sb="39" eb="41">
      <t>シケン</t>
    </rPh>
    <rPh sb="49" eb="51">
      <t>ホウホウ</t>
    </rPh>
    <rPh sb="52" eb="54">
      <t>ニンイ</t>
    </rPh>
    <phoneticPr fontId="7"/>
  </si>
  <si>
    <t>&lt;Androidアプリ（旧バージョン）&gt;
クライアントバージョン：2.6.3
試験No2
ログイン方法→任意</t>
    <rPh sb="39" eb="41">
      <t>シケン</t>
    </rPh>
    <phoneticPr fontId="7"/>
  </si>
  <si>
    <t>&lt;Androidアプリ（旧バージョン）&gt;
クライアントバージョン：2.6.3
試験No12
ログイン方法→任意</t>
    <rPh sb="39" eb="41">
      <t>シケン</t>
    </rPh>
    <phoneticPr fontId="7"/>
  </si>
  <si>
    <t>&lt;iOSアプリ&gt;
クライアントバージョン：2.7.0
試験No1
ログイン方法→任意</t>
    <rPh sb="27" eb="29">
      <t>シケン</t>
    </rPh>
    <phoneticPr fontId="7"/>
  </si>
  <si>
    <t>&lt;iOSアプリ&gt;
クライアントバージョン：2.7.0
試験No2
ログイン方法→任意</t>
    <rPh sb="27" eb="29">
      <t>シケン</t>
    </rPh>
    <phoneticPr fontId="7"/>
  </si>
  <si>
    <t>&lt;iOSアプリ&gt;
クライアントバージョン：2.7.0
試験No12
ログイン方法→任意</t>
    <rPh sb="27" eb="29">
      <t>シケン</t>
    </rPh>
    <phoneticPr fontId="7"/>
  </si>
  <si>
    <t>&lt;iOSアプリ（旧バージョン）&gt;
クライアントバージョン：2.6.3
試験No1
ログイン方法→任意</t>
    <phoneticPr fontId="7"/>
  </si>
  <si>
    <t>&lt;iOSアプリ（旧バージョン）&gt;
クライアントバージョン：2.6.3
試験No2
ログイン方法→任意</t>
    <rPh sb="35" eb="37">
      <t>シケン</t>
    </rPh>
    <phoneticPr fontId="7"/>
  </si>
  <si>
    <t>&lt;iOSアプリ（旧バージョン）&gt;
クライアントバージョン：2.6.3
試験No12
ログイン方法→任意</t>
    <rPh sb="35" eb="37">
      <t>シケン</t>
    </rPh>
    <phoneticPr fontId="7"/>
  </si>
  <si>
    <t>神(洋)</t>
    <rPh sb="0" eb="4">
      <t>ジン</t>
    </rPh>
    <phoneticPr fontId="11"/>
  </si>
  <si>
    <t>OK</t>
    <phoneticPr fontId="11"/>
  </si>
  <si>
    <t>神(洋)</t>
    <rPh sb="0" eb="4">
      <t>ジン</t>
    </rPh>
    <phoneticPr fontId="7"/>
  </si>
  <si>
    <t>NG→OK</t>
    <phoneticPr fontId="7"/>
  </si>
  <si>
    <t>神(洋)</t>
    <rPh sb="0" eb="4">
      <t>ジン</t>
    </rPh>
    <phoneticPr fontId="11"/>
  </si>
  <si>
    <t>OK</t>
    <phoneticPr fontId="11"/>
  </si>
  <si>
    <t>test_v2-7@test.co.jp</t>
    <phoneticPr fontId="11"/>
  </si>
  <si>
    <t>NG→OK</t>
    <phoneticPr fontId="11"/>
  </si>
  <si>
    <t>「データ（IP制限機能）」シート
【2】入力チェック</t>
    <phoneticPr fontId="7"/>
  </si>
  <si>
    <t>14.9.148.0/17</t>
    <phoneticPr fontId="11"/>
  </si>
  <si>
    <t>1つ目で一致</t>
    <rPh sb="2" eb="3">
      <t>メ</t>
    </rPh>
    <rPh sb="4" eb="6">
      <t>イッチ</t>
    </rPh>
    <phoneticPr fontId="11"/>
  </si>
  <si>
    <t>14.9.148.98</t>
    <phoneticPr fontId="11"/>
  </si>
  <si>
    <t>14.9.148.99</t>
    <phoneticPr fontId="11"/>
  </si>
  <si>
    <t>追加</t>
    <rPh sb="0" eb="2">
      <t>ツイカ</t>
    </rPh>
    <phoneticPr fontId="11"/>
  </si>
  <si>
    <t>14.9.148.97</t>
    <phoneticPr fontId="11"/>
  </si>
  <si>
    <t>中間で一致</t>
    <rPh sb="0" eb="2">
      <t>チュウカン</t>
    </rPh>
    <rPh sb="3" eb="5">
      <t>イッチ</t>
    </rPh>
    <phoneticPr fontId="11"/>
  </si>
  <si>
    <t>14.9.148.97</t>
    <phoneticPr fontId="11"/>
  </si>
  <si>
    <t>14.9.148.99</t>
    <phoneticPr fontId="11"/>
  </si>
  <si>
    <t>末尾で一致</t>
    <rPh sb="0" eb="2">
      <t>マツビ</t>
    </rPh>
    <rPh sb="3" eb="5">
      <t>イッチ</t>
    </rPh>
    <phoneticPr fontId="11"/>
  </si>
  <si>
    <t>↓↓レビュー後追加</t>
    <phoneticPr fontId="11"/>
  </si>
  <si>
    <t>「データ（IP制限機能）」シート
【2】入力チェック
試験No32</t>
    <rPh sb="27" eb="29">
      <t>シケン</t>
    </rPh>
    <phoneticPr fontId="11"/>
  </si>
  <si>
    <t>「データ（IP制限機能）」シート
【2】入力チェック
試験No33</t>
    <rPh sb="27" eb="29">
      <t>シケン</t>
    </rPh>
    <phoneticPr fontId="11"/>
  </si>
  <si>
    <t>「データ（IP制限機能）」シート
【2】入力チェック
試験No34</t>
    <rPh sb="27" eb="29">
      <t>シケン</t>
    </rPh>
    <phoneticPr fontId="11"/>
  </si>
  <si>
    <t>CIDR値最大</t>
    <rPh sb="4" eb="5">
      <t>チ</t>
    </rPh>
    <rPh sb="5" eb="7">
      <t>サイダイ</t>
    </rPh>
    <phoneticPr fontId="11"/>
  </si>
  <si>
    <r>
      <t xml:space="preserve">14.9.148.0/33
</t>
    </r>
    <r>
      <rPr>
        <b/>
        <sz val="9"/>
        <color rgb="FFFF0000"/>
        <rFont val="ＭＳ Ｐゴシック"/>
        <family val="3"/>
        <charset val="128"/>
        <scheme val="minor"/>
      </rPr>
      <t>(CIDR範囲不正)</t>
    </r>
    <rPh sb="19" eb="21">
      <t>ハンイ</t>
    </rPh>
    <rPh sb="21" eb="23">
      <t>フセイ</t>
    </rPh>
    <phoneticPr fontId="11"/>
  </si>
  <si>
    <t>14.9.148.97/32</t>
    <phoneticPr fontId="11"/>
  </si>
  <si>
    <t>CIDRが0になるのありうるが、機能としてはエラーとする</t>
    <rPh sb="16" eb="18">
      <t>キノウ</t>
    </rPh>
    <phoneticPr fontId="11"/>
  </si>
  <si>
    <t>https://www.vwnet.jp/mura/OldContents/cidr.htm</t>
  </si>
  <si>
    <t>（当初/31としていたが、/31は使用不可とのこと）</t>
    <rPh sb="1" eb="3">
      <t>トウショ</t>
    </rPh>
    <rPh sb="17" eb="19">
      <t>シヨウ</t>
    </rPh>
    <rPh sb="19" eb="21">
      <t>フカ</t>
    </rPh>
    <phoneticPr fontId="11"/>
  </si>
  <si>
    <t>OK</t>
    <phoneticPr fontId="11"/>
  </si>
  <si>
    <t>14.8.0.0/13</t>
    <phoneticPr fontId="11"/>
  </si>
  <si>
    <t>0.0.0.0/1</t>
    <phoneticPr fontId="11"/>
  </si>
  <si>
    <r>
      <t xml:space="preserve">14.9.148
</t>
    </r>
    <r>
      <rPr>
        <b/>
        <sz val="9"/>
        <color rgb="FFFF0000"/>
        <rFont val="ＭＳ Ｐゴシック"/>
        <family val="3"/>
        <charset val="128"/>
        <scheme val="minor"/>
      </rPr>
      <t>(「.」数不正)</t>
    </r>
    <phoneticPr fontId="11"/>
  </si>
  <si>
    <t>① ヒアーズミー管理ツールの「セキュリティ」画面を開く。
② 許可IPリストで、何らかの入力エラーとなるように入力内容を変更し、「サーバ保存」ボタンをクリックする。
→変更した入力フォームが赤くなり、「サーバ」保存ボタンの上部にエラーメッセージが表示される。
③ ②で変更した箇所を正しい内容に修正し、再度「サーバ保存」ボタンをクリックする。</t>
    <rPh sb="8" eb="10">
      <t>カンリ</t>
    </rPh>
    <rPh sb="22" eb="24">
      <t>ガメン</t>
    </rPh>
    <rPh sb="25" eb="26">
      <t>ヒラ</t>
    </rPh>
    <rPh sb="31" eb="33">
      <t>キョカ</t>
    </rPh>
    <rPh sb="40" eb="41">
      <t>ナン</t>
    </rPh>
    <rPh sb="44" eb="46">
      <t>ニュウリョク</t>
    </rPh>
    <rPh sb="55" eb="59">
      <t>ニュウリョクナイヨウ</t>
    </rPh>
    <rPh sb="60" eb="62">
      <t>ヘンコウ</t>
    </rPh>
    <rPh sb="68" eb="70">
      <t>ホゾン</t>
    </rPh>
    <rPh sb="84" eb="86">
      <t>ヘンコウ</t>
    </rPh>
    <rPh sb="88" eb="90">
      <t>ニュウリョク</t>
    </rPh>
    <rPh sb="95" eb="96">
      <t>アカ</t>
    </rPh>
    <rPh sb="105" eb="107">
      <t>ホゾン</t>
    </rPh>
    <rPh sb="111" eb="113">
      <t>ジョウブ</t>
    </rPh>
    <rPh sb="123" eb="125">
      <t>ヒョウジ</t>
    </rPh>
    <rPh sb="141" eb="142">
      <t>タダ</t>
    </rPh>
    <rPh sb="144" eb="146">
      <t>ナイヨウ</t>
    </rPh>
    <rPh sb="147" eb="149">
      <t>シュウセイ</t>
    </rPh>
    <rPh sb="151" eb="153">
      <t>サイド</t>
    </rPh>
    <rPh sb="157" eb="159">
      <t>ホゾン</t>
    </rPh>
    <phoneticPr fontId="11"/>
  </si>
  <si>
    <t>サーバ保存確認ダイアログが表示されることを確認。
入力フォームの赤色や、入力エラーメッセージがクリアされることを確認。</t>
    <rPh sb="3" eb="7">
      <t>ホゾンカクニン</t>
    </rPh>
    <rPh sb="13" eb="15">
      <t>ヒョウジ</t>
    </rPh>
    <rPh sb="21" eb="23">
      <t>カクニン</t>
    </rPh>
    <rPh sb="25" eb="27">
      <t>ニュウリョク</t>
    </rPh>
    <rPh sb="32" eb="34">
      <t>アカイロ</t>
    </rPh>
    <rPh sb="36" eb="38">
      <t>ニュウリョク</t>
    </rPh>
    <rPh sb="56" eb="58">
      <t>カクニン</t>
    </rPh>
    <phoneticPr fontId="11"/>
  </si>
  <si>
    <t>許可IPリスト入力エラー
→修正して再チェック（正常）</t>
    <rPh sb="0" eb="2">
      <t>キョカ</t>
    </rPh>
    <rPh sb="7" eb="9">
      <t>ニュウリョク</t>
    </rPh>
    <rPh sb="14" eb="16">
      <t>シュウセイ</t>
    </rPh>
    <rPh sb="18" eb="19">
      <t>サイ</t>
    </rPh>
    <rPh sb="24" eb="26">
      <t>セイジョウ</t>
    </rPh>
    <phoneticPr fontId="11"/>
  </si>
  <si>
    <t>許可IPリスト入力エラー
→修正して再チェック（エラー）</t>
    <rPh sb="0" eb="2">
      <t>キョカ</t>
    </rPh>
    <rPh sb="7" eb="9">
      <t>ニュウリョク</t>
    </rPh>
    <rPh sb="14" eb="16">
      <t>シュウセイ</t>
    </rPh>
    <rPh sb="18" eb="19">
      <t>サイ</t>
    </rPh>
    <phoneticPr fontId="11"/>
  </si>
  <si>
    <t>① ヒアーズミー管理ツールの「セキュリティ」画面を開く。
② 許可IPリストの任意のIPアドレス欄を、入力エラーとなるように入力内容を変更し、「サーバ保存」ボタンをクリックする。
→変更したIPアドレス欄が赤くなり、「サーバ」保存ボタンの上部にエラーメッセージが表示される。
③ ②で変更した箇所を正しい内容に修正し、また、別の行について名称欄を入力あり・IPアドレスを入力無しにして、再度「サーバ保存」ボタンをクリックする。</t>
    <rPh sb="8" eb="10">
      <t>カンリ</t>
    </rPh>
    <rPh sb="22" eb="24">
      <t>ガメン</t>
    </rPh>
    <rPh sb="25" eb="26">
      <t>ヒラ</t>
    </rPh>
    <rPh sb="31" eb="33">
      <t>キョカ</t>
    </rPh>
    <rPh sb="39" eb="41">
      <t>ニンイ</t>
    </rPh>
    <rPh sb="48" eb="49">
      <t>ラン</t>
    </rPh>
    <rPh sb="51" eb="53">
      <t>ニュウリョク</t>
    </rPh>
    <rPh sb="62" eb="66">
      <t>ニュウリョクナイヨウ</t>
    </rPh>
    <rPh sb="67" eb="69">
      <t>ヘンコウ</t>
    </rPh>
    <rPh sb="75" eb="77">
      <t>ホゾン</t>
    </rPh>
    <rPh sb="91" eb="93">
      <t>ヘンコウ</t>
    </rPh>
    <rPh sb="101" eb="102">
      <t>ラン</t>
    </rPh>
    <rPh sb="103" eb="104">
      <t>アカ</t>
    </rPh>
    <rPh sb="113" eb="115">
      <t>ホゾン</t>
    </rPh>
    <rPh sb="119" eb="121">
      <t>ジョウブ</t>
    </rPh>
    <rPh sb="131" eb="133">
      <t>ヒョウジ</t>
    </rPh>
    <rPh sb="149" eb="150">
      <t>タダ</t>
    </rPh>
    <rPh sb="152" eb="154">
      <t>ナイヨウ</t>
    </rPh>
    <rPh sb="155" eb="157">
      <t>シュウセイ</t>
    </rPh>
    <rPh sb="162" eb="163">
      <t>ベツ</t>
    </rPh>
    <rPh sb="164" eb="165">
      <t>ギョウ</t>
    </rPh>
    <rPh sb="169" eb="172">
      <t>メイショウラン</t>
    </rPh>
    <rPh sb="173" eb="175">
      <t>ニュウリョク</t>
    </rPh>
    <rPh sb="185" eb="188">
      <t>ニュウリョクナ</t>
    </rPh>
    <rPh sb="193" eb="195">
      <t>サイド</t>
    </rPh>
    <rPh sb="199" eb="201">
      <t>ホゾン</t>
    </rPh>
    <phoneticPr fontId="11"/>
  </si>
  <si>
    <t>②で内容を変更したIPアドレス欄の赤色やエラーメッセージがクリアされること。
③で変更した名称欄、IPアドレス欄が赤くなり、エラーメッセージは引き続き表示されることを確認。</t>
    <rPh sb="2" eb="4">
      <t>ナイヨウ</t>
    </rPh>
    <rPh sb="5" eb="7">
      <t>ヘンコウ</t>
    </rPh>
    <rPh sb="15" eb="16">
      <t>ラン</t>
    </rPh>
    <rPh sb="17" eb="19">
      <t>アカイロ</t>
    </rPh>
    <rPh sb="41" eb="43">
      <t>ヘンコウ</t>
    </rPh>
    <rPh sb="45" eb="48">
      <t>メイショウラン</t>
    </rPh>
    <rPh sb="55" eb="56">
      <t>ラン</t>
    </rPh>
    <rPh sb="57" eb="58">
      <t>アカ</t>
    </rPh>
    <rPh sb="71" eb="72">
      <t>ヒ</t>
    </rPh>
    <rPh sb="73" eb="74">
      <t>ツヅ</t>
    </rPh>
    <rPh sb="75" eb="77">
      <t>ヒョウジ</t>
    </rPh>
    <rPh sb="83" eb="85">
      <t>カクニン</t>
    </rPh>
    <phoneticPr fontId="11"/>
  </si>
  <si>
    <t>神(洋)</t>
    <rPh sb="0" eb="4">
      <t>ジン</t>
    </rPh>
    <phoneticPr fontId="11"/>
  </si>
  <si>
    <t>100.9.148.97</t>
    <phoneticPr fontId="11"/>
  </si>
  <si>
    <t>14.100.148.97</t>
    <phoneticPr fontId="11"/>
  </si>
  <si>
    <t>14.9.100.97</t>
    <phoneticPr fontId="11"/>
  </si>
  <si>
    <t>14.9.148.100</t>
    <phoneticPr fontId="11"/>
  </si>
  <si>
    <t>14.16.0.0/12</t>
    <phoneticPr fontId="11"/>
  </si>
  <si>
    <t>14.9.192.0/18</t>
    <phoneticPr fontId="11"/>
  </si>
  <si>
    <t>14.9.148.128/25</t>
    <phoneticPr fontId="11"/>
  </si>
  <si>
    <t>15.*.*.*</t>
    <phoneticPr fontId="11"/>
  </si>
  <si>
    <t>14.10.*.*</t>
    <phoneticPr fontId="11"/>
  </si>
  <si>
    <t>192.168.0.2</t>
    <phoneticPr fontId="11"/>
  </si>
  <si>
    <t>14.9.148.98</t>
    <phoneticPr fontId="11"/>
  </si>
  <si>
    <t>192.168.10.*</t>
    <phoneticPr fontId="11"/>
  </si>
  <si>
    <t>128.10.128.1/25</t>
    <phoneticPr fontId="11"/>
  </si>
  <si>
    <t>{14.9.148.97_本社IPアドレス,_192.168.10.*_,128.10.128.1/25_北海道支社}</t>
    <rPh sb="13" eb="15">
      <t>ホンシャ</t>
    </rPh>
    <phoneticPr fontId="11"/>
  </si>
  <si>
    <t>{14.9.148.97_本社IPアドレス,192.168.10.*_,128.10.128.1/25_北海道支社_}</t>
    <phoneticPr fontId="11"/>
  </si>
  <si>
    <t>128.10.128.1/25</t>
    <phoneticPr fontId="11"/>
  </si>
  <si>
    <t>192.168.10.*</t>
    <phoneticPr fontId="11"/>
  </si>
  <si>
    <t>{14.9.148.97_本社IPアドレス,128.10.128.1/25_北海道支社,192.168.10.1_追加IP-1}</t>
    <rPh sb="57" eb="59">
      <t>ツイカ</t>
    </rPh>
    <phoneticPr fontId="11"/>
  </si>
  <si>
    <t>{14.9.148.97_本社IPアドレス,128.10.128.1/25_北海道支社}</t>
    <rPh sb="13" eb="15">
      <t>ホンシャ</t>
    </rPh>
    <phoneticPr fontId="11"/>
  </si>
  <si>
    <t>{14.9.148.97_本社IPアドレス,128.10.128/25_北海道支社,192.168.10.1_追加IP-1,192.168.10.2_追加IP-2,…,192.168.10.18_追加IP-18}</t>
    <rPh sb="55" eb="57">
      <t>ツイカ</t>
    </rPh>
    <phoneticPr fontId="11"/>
  </si>
  <si>
    <t>{14.9.148.97_本社IPアドレス,北海道支社_128.10.128.1/25}</t>
    <rPh sb="13" eb="15">
      <t>ホンシャ</t>
    </rPh>
    <rPh sb="22" eb="27">
      <t>ホッカイドウシシャ</t>
    </rPh>
    <phoneticPr fontId="11"/>
  </si>
  <si>
    <t>128.10.128.1/25</t>
    <phoneticPr fontId="11"/>
  </si>
  <si>
    <t>192.168.10.1</t>
    <phoneticPr fontId="11"/>
  </si>
  <si>
    <t>神(洋)</t>
    <rPh sb="0" eb="4">
      <t>ジン</t>
    </rPh>
    <phoneticPr fontId="11"/>
  </si>
  <si>
    <t>「データ（IP制限機能）」シート
【3】更新
試験No6</t>
    <rPh sb="23" eb="25">
      <t>シケン</t>
    </rPh>
    <phoneticPr fontId="11"/>
  </si>
  <si>
    <r>
      <t>{</t>
    </r>
    <r>
      <rPr>
        <sz val="11"/>
        <color rgb="FF0066FF"/>
        <rFont val="ＭＳ Ｐゴシック"/>
        <family val="3"/>
        <charset val="128"/>
        <scheme val="minor"/>
      </rPr>
      <t>14.9.148.0/25</t>
    </r>
    <r>
      <rPr>
        <sz val="11"/>
        <color theme="1"/>
        <rFont val="ＭＳ Ｐゴシック"/>
        <family val="3"/>
        <charset val="128"/>
        <scheme val="minor"/>
      </rPr>
      <t>_本社IPアドレス}</t>
    </r>
    <rPh sb="15" eb="17">
      <t>ホンシャ</t>
    </rPh>
    <phoneticPr fontId="11"/>
  </si>
  <si>
    <t>t.mic_test2-7@test.co.jp</t>
    <phoneticPr fontId="11"/>
  </si>
  <si>
    <t>NG→OK</t>
    <phoneticPr fontId="7"/>
  </si>
  <si>
    <t>神(洋)</t>
    <rPh sb="0" eb="4">
      <t>ジン</t>
    </rPh>
    <phoneticPr fontId="11"/>
  </si>
  <si>
    <t>OK</t>
    <phoneticPr fontId="11"/>
  </si>
  <si>
    <r>
      <t xml:space="preserve">エラーダイアログが表示されることを確認。
----------
データが見つかりませんでした。
再ログインしてください。
「OK」
</t>
    </r>
    <r>
      <rPr>
        <sz val="11"/>
        <color rgb="FFFF0000"/>
        <rFont val="ＭＳ Ｐゴシック"/>
        <family val="3"/>
        <charset val="128"/>
        <scheme val="minor"/>
      </rPr>
      <t>DBアクセスしないため実施不要</t>
    </r>
    <rPh sb="9" eb="11">
      <t>ヒョウジ</t>
    </rPh>
    <rPh sb="17" eb="19">
      <t>カクニン</t>
    </rPh>
    <rPh sb="79" eb="83">
      <t>ジッシフヨウ</t>
    </rPh>
    <phoneticPr fontId="11"/>
  </si>
  <si>
    <r>
      <t xml:space="preserve">サーバ処理エラーのアラートが表示されることを確認。
-------
サーバ処理でエラーが発生しました。
(REQ_UPD_IPMNG_PRECHECK/エラーコード)
</t>
    </r>
    <r>
      <rPr>
        <sz val="11"/>
        <color rgb="FFFF0000"/>
        <rFont val="ＭＳ Ｐゴシック"/>
        <family val="3"/>
        <charset val="128"/>
        <scheme val="minor"/>
      </rPr>
      <t xml:space="preserve">
DBアクセスしないため実施不要</t>
    </r>
    <rPh sb="3" eb="5">
      <t>ショリ</t>
    </rPh>
    <rPh sb="14" eb="16">
      <t>ヒョウジ</t>
    </rPh>
    <rPh sb="22" eb="24">
      <t>カクニン</t>
    </rPh>
    <phoneticPr fontId="11"/>
  </si>
  <si>
    <t>ログイン
（コマンド：REQ_LOGIN_CHECK）</t>
    <phoneticPr fontId="11"/>
  </si>
  <si>
    <t>ログイン
（コマンド：REQ_LOGIN_CHECK）</t>
    <phoneticPr fontId="11"/>
  </si>
  <si>
    <t>サーバ処理エラーのアラートが表示されることを確認。
-------
サーバ処理でエラーが発生しました。
(REQ_LOGIN_CHECK/エラーコード)</t>
    <rPh sb="3" eb="5">
      <t>ショリ</t>
    </rPh>
    <rPh sb="14" eb="16">
      <t>ヒョウジ</t>
    </rPh>
    <rPh sb="22" eb="24">
      <t>カクニン</t>
    </rPh>
    <phoneticPr fontId="11"/>
  </si>
  <si>
    <t>サーバ通信エラーのアラートが表示されることを確認。
-------
サーバとの接続でエラーが発生しました
(REQ_LOGIN_CHECK/エラー情報)</t>
    <rPh sb="3" eb="5">
      <t>ツウシン</t>
    </rPh>
    <rPh sb="14" eb="16">
      <t>ヒョウジ</t>
    </rPh>
    <rPh sb="22" eb="24">
      <t>カクニン</t>
    </rPh>
    <rPh sb="74" eb="76">
      <t>ジョウホウ</t>
    </rPh>
    <phoneticPr fontId="11"/>
  </si>
  <si>
    <t>① DBテーブル「iw_ipmanagetbl」をリネームする。
② 管理ツールログイン画面にて、ログイン可能なログインアカウントを入力し、「LOGIN」ボタンをクリックする。</t>
    <phoneticPr fontId="11"/>
  </si>
  <si>
    <t>① サーバAPIを停止する。
② 管理ツールログイン画面にて、ログイン可能なログインアカウントを入力し、「LOGIN」ボタンをクリックする。</t>
    <phoneticPr fontId="11"/>
  </si>
  <si>
    <t>① DBテーブル「iw_ipmanagetbl」のデータのうち、ログインする企業の「company_id」の値を変更する。
② ヒアーズミー管理ツールにログインする。
③ ヒアーズミー管理ツールの「セキュリティ」画面を開く。</t>
    <rPh sb="70" eb="72">
      <t>カンリ</t>
    </rPh>
    <phoneticPr fontId="11"/>
  </si>
  <si>
    <r>
      <t>②実施後、正常にログインでいることを確認する。（ip_managetblのデータがないのは、ログイン時にはIP制限なしとみなす）
③実施後、サーバ処理エラーのアラートが表示されることを確認。
-------
サーバ処理でエラーが発生しました。
(REQ_SEL_IPMNG</t>
    </r>
    <r>
      <rPr>
        <strike/>
        <sz val="11"/>
        <color theme="1"/>
        <rFont val="ＭＳ Ｐゴシック"/>
        <family val="3"/>
        <charset val="128"/>
        <scheme val="minor"/>
      </rPr>
      <t>/エラーコード</t>
    </r>
    <r>
      <rPr>
        <sz val="11"/>
        <color theme="1"/>
        <rFont val="ＭＳ Ｐゴシック"/>
        <family val="3"/>
        <charset val="128"/>
        <scheme val="minor"/>
      </rPr>
      <t>)</t>
    </r>
    <rPh sb="1" eb="4">
      <t>ジッシゴ</t>
    </rPh>
    <rPh sb="5" eb="7">
      <t>セイジョウ</t>
    </rPh>
    <rPh sb="18" eb="20">
      <t>カクニン</t>
    </rPh>
    <rPh sb="50" eb="51">
      <t>ジ</t>
    </rPh>
    <rPh sb="55" eb="57">
      <t>セイゲン</t>
    </rPh>
    <rPh sb="66" eb="69">
      <t>ジッシゴ</t>
    </rPh>
    <rPh sb="73" eb="75">
      <t>ショリ</t>
    </rPh>
    <rPh sb="84" eb="86">
      <t>ヒョウジ</t>
    </rPh>
    <rPh sb="92" eb="94">
      <t>カクニン</t>
    </rPh>
    <phoneticPr fontId="11"/>
  </si>
  <si>
    <r>
      <t xml:space="preserve">サーバ通信エラーのアラートが表示されることを確認。
-------
サーバとの接続でエラーが発生しました
(REQ_SEL_IPMNG/エラー情報)
</t>
    </r>
    <r>
      <rPr>
        <sz val="11"/>
        <color rgb="FFFF0000"/>
        <rFont val="ＭＳ Ｐゴシック"/>
        <family val="3"/>
        <charset val="128"/>
        <scheme val="minor"/>
      </rPr>
      <t>動的プロジェクトのため、メニューをクリックした時点で開こうとしたhtmlファイルが見えなくなるため、サーバアクセスする前にHTTPエラーになる</t>
    </r>
    <rPh sb="3" eb="5">
      <t>ツウシン</t>
    </rPh>
    <rPh sb="14" eb="16">
      <t>ヒョウジ</t>
    </rPh>
    <rPh sb="22" eb="24">
      <t>カクニン</t>
    </rPh>
    <rPh sb="72" eb="74">
      <t>ジョウホウ</t>
    </rPh>
    <rPh sb="77" eb="79">
      <t>ドウテキ</t>
    </rPh>
    <rPh sb="100" eb="102">
      <t>ジテン</t>
    </rPh>
    <rPh sb="103" eb="104">
      <t>ヒラ</t>
    </rPh>
    <rPh sb="118" eb="119">
      <t>ミ</t>
    </rPh>
    <rPh sb="136" eb="137">
      <t>マエ</t>
    </rPh>
    <phoneticPr fontId="11"/>
  </si>
  <si>
    <t>神(洋)</t>
    <rPh sb="0" eb="4">
      <t>ジン</t>
    </rPh>
    <phoneticPr fontId="7"/>
  </si>
  <si>
    <t>OK</t>
    <phoneticPr fontId="11"/>
  </si>
  <si>
    <t>★</t>
    <phoneticPr fontId="11"/>
  </si>
  <si>
    <t>★</t>
    <phoneticPr fontId="11"/>
  </si>
  <si>
    <t>みくろす　たろう</t>
    <phoneticPr fontId="11"/>
  </si>
  <si>
    <t>みくろす　じろう</t>
    <phoneticPr fontId="11"/>
  </si>
  <si>
    <t>「oldデータ（IP制限機能）」シート</t>
    <phoneticPr fontId="11"/>
  </si>
  <si>
    <t>１回目（Chrome）</t>
    <rPh sb="1" eb="3">
      <t>カイメ</t>
    </rPh>
    <phoneticPr fontId="4"/>
  </si>
  <si>
    <t>入力チェック→再チェック</t>
    <rPh sb="0" eb="2">
      <t>ニュウリョク</t>
    </rPh>
    <rPh sb="7" eb="8">
      <t>サイ</t>
    </rPh>
    <phoneticPr fontId="7"/>
  </si>
  <si>
    <t>神(洋)</t>
    <rPh sb="0" eb="4">
      <t>ジン</t>
    </rPh>
    <phoneticPr fontId="11"/>
  </si>
  <si>
    <t>OK</t>
    <phoneticPr fontId="11"/>
  </si>
  <si>
    <t>既存アカウント（company_id=0000000017）</t>
    <rPh sb="0" eb="2">
      <t>キゾン</t>
    </rPh>
    <phoneticPr fontId="7"/>
  </si>
  <si>
    <t>新規アカウント（company_id=0000000019）</t>
    <rPh sb="0" eb="2">
      <t>シンキ</t>
    </rPh>
    <phoneticPr fontId="11"/>
  </si>
  <si>
    <t>① ヒアーズミー管理ツールの「一括登録」画面を開く。
② 任意のcsvファイルを選択して「チェック開始」を実行する。
③ チェック結果が表示された後、ファイル拡張子が不正（.txtなど）のファイルを選択する。</t>
    <rPh sb="8" eb="10">
      <t>カンリ</t>
    </rPh>
    <rPh sb="15" eb="17">
      <t>イッカツ</t>
    </rPh>
    <rPh sb="17" eb="19">
      <t>トウロク</t>
    </rPh>
    <rPh sb="20" eb="22">
      <t>ガメン</t>
    </rPh>
    <rPh sb="23" eb="24">
      <t>ヒラ</t>
    </rPh>
    <rPh sb="29" eb="31">
      <t>ニンイ</t>
    </rPh>
    <rPh sb="40" eb="42">
      <t>センタク</t>
    </rPh>
    <rPh sb="49" eb="51">
      <t>カイシ</t>
    </rPh>
    <rPh sb="53" eb="55">
      <t>ジッコウ</t>
    </rPh>
    <rPh sb="65" eb="67">
      <t>ケッカ</t>
    </rPh>
    <rPh sb="68" eb="70">
      <t>ヒョウジ</t>
    </rPh>
    <rPh sb="73" eb="74">
      <t>アト</t>
    </rPh>
    <rPh sb="79" eb="82">
      <t>カクチョウシ</t>
    </rPh>
    <rPh sb="83" eb="85">
      <t>フセイ</t>
    </rPh>
    <rPh sb="99" eb="101">
      <t>センタク</t>
    </rPh>
    <phoneticPr fontId="11"/>
  </si>
  <si>
    <t>③実施後、②で表示されたチェック結果表示エリアが非表示になり、「一括登録」画面を開いた時と同じ状態になることを確認する。
「チェック開始」ボタンをクリックできないことを確認する。</t>
    <rPh sb="1" eb="4">
      <t>ジッシゴ</t>
    </rPh>
    <rPh sb="7" eb="9">
      <t>ヒョウジ</t>
    </rPh>
    <rPh sb="16" eb="18">
      <t>ケッカ</t>
    </rPh>
    <rPh sb="18" eb="20">
      <t>ヒョウジ</t>
    </rPh>
    <rPh sb="24" eb="27">
      <t>ヒヒョウジ</t>
    </rPh>
    <rPh sb="32" eb="36">
      <t>イッカツトウロク</t>
    </rPh>
    <rPh sb="37" eb="39">
      <t>ガメン</t>
    </rPh>
    <rPh sb="40" eb="41">
      <t>ヒラ</t>
    </rPh>
    <rPh sb="43" eb="44">
      <t>トキ</t>
    </rPh>
    <rPh sb="45" eb="46">
      <t>オナ</t>
    </rPh>
    <rPh sb="47" eb="49">
      <t>ジョウタイ</t>
    </rPh>
    <rPh sb="55" eb="57">
      <t>カクニン</t>
    </rPh>
    <rPh sb="66" eb="68">
      <t>カイシ</t>
    </rPh>
    <rPh sb="84" eb="86">
      <t>カクニン</t>
    </rPh>
    <phoneticPr fontId="11"/>
  </si>
  <si>
    <t>初期表示</t>
    <rPh sb="0" eb="4">
      <t>ショキヒョウジ</t>
    </rPh>
    <phoneticPr fontId="11"/>
  </si>
  <si>
    <t xml:space="preserve">① ヒアーズミー管理ツールの「一括登録」画面を開く。
</t>
    <rPh sb="8" eb="10">
      <t>カンリ</t>
    </rPh>
    <rPh sb="15" eb="17">
      <t>イッカツ</t>
    </rPh>
    <rPh sb="17" eb="19">
      <t>トウロク</t>
    </rPh>
    <rPh sb="20" eb="22">
      <t>ガメン</t>
    </rPh>
    <rPh sb="23" eb="24">
      <t>ヒラ</t>
    </rPh>
    <phoneticPr fontId="11"/>
  </si>
  <si>
    <t>「ファイルを選択」ボタンの横に「ファイルを選択してください」と表示され、「チェック開始」ボタンがグレー（クリック不可）となっていることを確認。</t>
    <rPh sb="6" eb="8">
      <t>センタク</t>
    </rPh>
    <rPh sb="13" eb="14">
      <t>ヨコ</t>
    </rPh>
    <rPh sb="21" eb="23">
      <t>センタク</t>
    </rPh>
    <rPh sb="31" eb="33">
      <t>ヒョウジ</t>
    </rPh>
    <rPh sb="41" eb="43">
      <t>カイシ</t>
    </rPh>
    <rPh sb="56" eb="58">
      <t>フカ</t>
    </rPh>
    <rPh sb="68" eb="70">
      <t>カクニン</t>
    </rPh>
    <phoneticPr fontId="11"/>
  </si>
  <si>
    <t>選択したファイル名を表示
「チェック開始」ボタンが青</t>
    <rPh sb="0" eb="2">
      <t>センタク</t>
    </rPh>
    <rPh sb="8" eb="9">
      <t>メイ</t>
    </rPh>
    <rPh sb="10" eb="12">
      <t>ヒョウジ</t>
    </rPh>
    <rPh sb="18" eb="20">
      <t>カイシ</t>
    </rPh>
    <rPh sb="25" eb="26">
      <t>アオ</t>
    </rPh>
    <phoneticPr fontId="11"/>
  </si>
  <si>
    <t>選択したファイル名を表示
「チェック開始」ボタンが青</t>
    <rPh sb="0" eb="2">
      <t>センタク</t>
    </rPh>
    <rPh sb="8" eb="9">
      <t>メイ</t>
    </rPh>
    <rPh sb="10" eb="12">
      <t>ヒョウジ</t>
    </rPh>
    <phoneticPr fontId="11"/>
  </si>
  <si>
    <r>
      <t xml:space="preserve">エラーダイアログを表示
</t>
    </r>
    <r>
      <rPr>
        <sz val="9"/>
        <color theme="1"/>
        <rFont val="ＭＳ Ｐゴシック"/>
        <family val="3"/>
        <charset val="128"/>
        <scheme val="minor"/>
      </rPr>
      <t xml:space="preserve">(csvファイルを選択してください)
</t>
    </r>
    <r>
      <rPr>
        <sz val="11"/>
        <color theme="1"/>
        <rFont val="ＭＳ Ｐゴシック"/>
        <family val="3"/>
        <charset val="128"/>
        <scheme val="minor"/>
      </rPr>
      <t>「チェック開始」ボタンがグレー</t>
    </r>
    <rPh sb="9" eb="11">
      <t>ヒョウジ</t>
    </rPh>
    <rPh sb="21" eb="23">
      <t>センタク</t>
    </rPh>
    <phoneticPr fontId="11"/>
  </si>
  <si>
    <t>インポートデータ1</t>
    <phoneticPr fontId="11"/>
  </si>
  <si>
    <t>h.mic_test2-7@test.co.jp</t>
    <phoneticPr fontId="11"/>
  </si>
  <si>
    <t>"インポート""データ""27"</t>
    <phoneticPr fontId="11"/>
  </si>
  <si>
    <t>"インポート
データ27"</t>
    <phoneticPr fontId="11"/>
  </si>
  <si>
    <t>チェック開始確認ダイアログが閉じ、チェック完了ダイアログが表示されることを確認。
----------
CSVファイルのチェックが完了しました。
サーバ保存ボタンをクリックしてください。
「OK」</t>
    <rPh sb="4" eb="6">
      <t>カイシ</t>
    </rPh>
    <rPh sb="6" eb="8">
      <t>カクニン</t>
    </rPh>
    <rPh sb="14" eb="15">
      <t>ト</t>
    </rPh>
    <rPh sb="21" eb="23">
      <t>カンリョウ</t>
    </rPh>
    <rPh sb="29" eb="31">
      <t>ヒョウジ</t>
    </rPh>
    <rPh sb="37" eb="39">
      <t>カクニン</t>
    </rPh>
    <rPh sb="66" eb="68">
      <t>カンリョウ</t>
    </rPh>
    <rPh sb="77" eb="79">
      <t>ホゾン</t>
    </rPh>
    <phoneticPr fontId="11"/>
  </si>
  <si>
    <t>チェック開始確認ダイアログが閉じ、チェック完了ダイアログが表示されることを確認。
----------
CSVファイルのチェックが完了しました。
要確認のチェック結果があります。
そのまま登録するデータは一番左の列にチェックを入れて
サーバ保存ボタンをクリックしてください。
(チェックしないデータは登録されません)
「OK」</t>
    <rPh sb="4" eb="6">
      <t>カイシ</t>
    </rPh>
    <rPh sb="6" eb="8">
      <t>カクニン</t>
    </rPh>
    <rPh sb="14" eb="15">
      <t>ト</t>
    </rPh>
    <rPh sb="21" eb="23">
      <t>カンリョウ</t>
    </rPh>
    <rPh sb="29" eb="31">
      <t>ヒョウジ</t>
    </rPh>
    <rPh sb="37" eb="39">
      <t>カクニン</t>
    </rPh>
    <rPh sb="66" eb="68">
      <t>カンリョウ</t>
    </rPh>
    <rPh sb="122" eb="124">
      <t>ホゾン</t>
    </rPh>
    <phoneticPr fontId="11"/>
  </si>
  <si>
    <t>社員ID</t>
    <phoneticPr fontId="11"/>
  </si>
  <si>
    <t>社員ID</t>
    <phoneticPr fontId="11"/>
  </si>
  <si>
    <t>登録可能ユーザ数を超過するため、登録できません。&lt;br&gt;(登録済みユーザ数：4)</t>
    <rPh sb="0" eb="2">
      <t>トウロク</t>
    </rPh>
    <rPh sb="2" eb="4">
      <t>カノウ</t>
    </rPh>
    <rPh sb="7" eb="8">
      <t>スウ</t>
    </rPh>
    <rPh sb="9" eb="11">
      <t>チョウカ</t>
    </rPh>
    <rPh sb="16" eb="18">
      <t>トウロク</t>
    </rPh>
    <rPh sb="29" eb="31">
      <t>トウロク</t>
    </rPh>
    <rPh sb="31" eb="32">
      <t>ズ</t>
    </rPh>
    <rPh sb="36" eb="37">
      <t>スウ</t>
    </rPh>
    <phoneticPr fontId="11"/>
  </si>
  <si>
    <t>(なし)</t>
    <phoneticPr fontId="11"/>
  </si>
  <si>
    <t>NG→OK</t>
    <phoneticPr fontId="11"/>
  </si>
  <si>
    <t>神(洋)</t>
    <rPh sb="0" eb="4">
      <t>ジン</t>
    </rPh>
    <phoneticPr fontId="11"/>
  </si>
  <si>
    <t>OK</t>
    <phoneticPr fontId="11"/>
  </si>
  <si>
    <t>① No1(またはNo2)を実施する。
② ①で作成したアカウントでヒアーズミー管理ツールにログインし、「一括登録」画面を開く。
③ 任意のcsvファイルでユーザ一括登録を実行する。（「データ（一括登録）」シート【3】一括登録No4のcsvファイルを使用）</t>
    <rPh sb="14" eb="16">
      <t>ジッシ</t>
    </rPh>
    <rPh sb="24" eb="26">
      <t>サクセイ</t>
    </rPh>
    <rPh sb="97" eb="101">
      <t>イッカツトウロク</t>
    </rPh>
    <rPh sb="125" eb="127">
      <t>シヨウ</t>
    </rPh>
    <phoneticPr fontId="11"/>
  </si>
  <si>
    <t>OK</t>
    <phoneticPr fontId="11"/>
  </si>
  <si>
    <t>OFF</t>
    <phoneticPr fontId="11"/>
  </si>
  <si>
    <t>「データ（一括登録）」シート
【3】一括登録
試験No5</t>
    <rPh sb="23" eb="25">
      <t>シケン</t>
    </rPh>
    <phoneticPr fontId="11"/>
  </si>
  <si>
    <t>神(洋)</t>
    <rPh sb="0" eb="4">
      <t>ジン</t>
    </rPh>
    <phoneticPr fontId="11"/>
  </si>
  <si>
    <t>OK</t>
    <phoneticPr fontId="11"/>
  </si>
  <si>
    <t>NG→OK</t>
    <phoneticPr fontId="11"/>
  </si>
  <si>
    <t>サーバ処理エラーのアラートが表示されることを確認。
-------
サーバ処理でエラーが発生しました。
(REQ_SEL_MASTER_FOR_USER_IMPORT)</t>
    <rPh sb="3" eb="5">
      <t>ショリ</t>
    </rPh>
    <rPh sb="14" eb="16">
      <t>ヒョウジ</t>
    </rPh>
    <rPh sb="22" eb="24">
      <t>カクニン</t>
    </rPh>
    <phoneticPr fontId="11"/>
  </si>
  <si>
    <t>神(洋)</t>
    <rPh sb="0" eb="4">
      <t>ジン</t>
    </rPh>
    <phoneticPr fontId="11"/>
  </si>
  <si>
    <t>エラーダイアログが表示されることを確認。
-------
所属名の登録中に、サーバとの接続でエラーが発生しました。
時間をおき、再ログインしてやり直してください。</t>
    <rPh sb="9" eb="11">
      <t>ヒョウジ</t>
    </rPh>
    <rPh sb="17" eb="19">
      <t>カクニン</t>
    </rPh>
    <rPh sb="30" eb="32">
      <t>ショゾク</t>
    </rPh>
    <phoneticPr fontId="11"/>
  </si>
  <si>
    <t>エラーダイアログが表示されることを確認。
-------
所属名の登録でエラーが発生しました。
時間をおき、再ログインしてやり直してください。
※ユーザは登録されていません。</t>
    <rPh sb="9" eb="11">
      <t>ヒョウジ</t>
    </rPh>
    <rPh sb="17" eb="19">
      <t>カクニン</t>
    </rPh>
    <rPh sb="30" eb="32">
      <t>ショゾク</t>
    </rPh>
    <phoneticPr fontId="11"/>
  </si>
  <si>
    <t>エラーダイアログが表示されることを確認。
-------
拠点名の登録中に、サーバとの接続でエラーが発生しました。
時間をおき、再ログインしてやり直してください。</t>
    <rPh sb="9" eb="11">
      <t>ヒョウジ</t>
    </rPh>
    <rPh sb="17" eb="19">
      <t>カクニン</t>
    </rPh>
    <rPh sb="30" eb="32">
      <t>キョテン</t>
    </rPh>
    <phoneticPr fontId="11"/>
  </si>
  <si>
    <t>エラーダイアログが表示されることを確認。
-------
拠点名の登録でエラーが発生しました。
時間をおき、再ログインしてやり直してください。
※所属、ユーザは登録されていません。</t>
    <rPh sb="9" eb="11">
      <t>ヒョウジ</t>
    </rPh>
    <rPh sb="17" eb="19">
      <t>カクニン</t>
    </rPh>
    <phoneticPr fontId="11"/>
  </si>
  <si>
    <t>エラーダイアログが表示されることを確認。
-------
役職名の登録中に、サーバとの接続でエラーが発生しました。
時間をおき、再ログインしてやり直してください。</t>
    <rPh sb="9" eb="11">
      <t>ヒョウジ</t>
    </rPh>
    <rPh sb="17" eb="19">
      <t>カクニン</t>
    </rPh>
    <phoneticPr fontId="11"/>
  </si>
  <si>
    <t>エラーダイアログが表示されることを確認。
-------
役職名の登録でエラーが発生しました。
時間をおき、再ログインしてやり直してください。
※拠点、所属、ユーザは登録されていません。</t>
    <rPh sb="9" eb="11">
      <t>ヒョウジ</t>
    </rPh>
    <rPh sb="17" eb="19">
      <t>カクニン</t>
    </rPh>
    <phoneticPr fontId="11"/>
  </si>
  <si>
    <t>エラーダイアログが表示されることを確認。
-------
ユーザ情報の登録でエラーが発生しました。
(エラー発生行：XX) (エラー原因：(エラーコード))
時間をおき、再ログインしてやり直してください。</t>
    <rPh sb="9" eb="11">
      <t>ヒョウジ</t>
    </rPh>
    <rPh sb="17" eb="19">
      <t>カクニン</t>
    </rPh>
    <rPh sb="36" eb="38">
      <t>トウロク</t>
    </rPh>
    <phoneticPr fontId="11"/>
  </si>
  <si>
    <t>エラーダイアログが表示されることを確認。
-------
ユーザ情報の登録中に、サーバとの接続でエラーが発生しました。
時間をおき、再ログインしてやり直してください。</t>
    <rPh sb="9" eb="11">
      <t>ヒョウジ</t>
    </rPh>
    <rPh sb="17" eb="19">
      <t>カクニン</t>
    </rPh>
    <rPh sb="33" eb="35">
      <t>ジョウホウ</t>
    </rPh>
    <rPh sb="36" eb="38">
      <t>トウロク</t>
    </rPh>
    <rPh sb="38" eb="39">
      <t>チュウ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</si>
</sst>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d;@"/>
    <numFmt numFmtId="177" formatCode="0.0%"/>
  </numFmts>
  <fonts count="32">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1"/>
      <color theme="1"/>
      <name val="ＭＳ Ｐゴシック"/>
      <family val="3"/>
      <charset val="128"/>
      <scheme val="minor"/>
    </font>
    <font>
      <sz val="11"/>
      <color theme="0"/>
      <name val="ＭＳ Ｐゴシック"/>
      <family val="3"/>
      <charset val="128"/>
      <scheme val="minor"/>
    </font>
    <font>
      <sz val="11"/>
      <color indexed="81"/>
      <name val="MS P ゴシック"/>
      <family val="3"/>
      <charset val="128"/>
    </font>
    <font>
      <sz val="6"/>
      <name val="ＭＳ Ｐゴシック"/>
      <family val="3"/>
      <charset val="128"/>
      <scheme val="minor"/>
    </font>
    <font>
      <b/>
      <sz val="14"/>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theme="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
      <sz val="9"/>
      <color indexed="81"/>
      <name val="MS P ゴシック"/>
      <family val="3"/>
      <charset val="128"/>
    </font>
    <font>
      <sz val="10"/>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b/>
      <sz val="11"/>
      <color rgb="FFFF0000"/>
      <name val="ＭＳ Ｐゴシック"/>
      <family val="3"/>
      <charset val="128"/>
      <scheme val="minor"/>
    </font>
    <font>
      <b/>
      <sz val="11"/>
      <color rgb="FF0066FF"/>
      <name val="ＭＳ Ｐゴシック"/>
      <family val="3"/>
      <charset val="128"/>
      <scheme val="minor"/>
    </font>
    <font>
      <sz val="11"/>
      <color rgb="FF0066FF"/>
      <name val="ＭＳ Ｐゴシック"/>
      <family val="3"/>
      <charset val="128"/>
      <scheme val="minor"/>
    </font>
    <font>
      <b/>
      <sz val="9"/>
      <color rgb="FFFF0000"/>
      <name val="ＭＳ Ｐゴシック"/>
      <family val="3"/>
      <charset val="128"/>
      <scheme val="minor"/>
    </font>
    <font>
      <sz val="9"/>
      <color rgb="FFFF0000"/>
      <name val="ＭＳ Ｐゴシック"/>
      <family val="3"/>
      <charset val="128"/>
      <scheme val="minor"/>
    </font>
    <font>
      <b/>
      <sz val="8"/>
      <color rgb="FF0066FF"/>
      <name val="ＭＳ Ｐゴシック"/>
      <family val="3"/>
      <charset val="128"/>
      <scheme val="minor"/>
    </font>
    <font>
      <sz val="8"/>
      <name val="ＭＳ Ｐゴシック"/>
      <family val="3"/>
      <charset val="128"/>
      <scheme val="minor"/>
    </font>
    <font>
      <u/>
      <sz val="11"/>
      <color theme="10"/>
      <name val="ＭＳ Ｐゴシック"/>
      <family val="3"/>
      <charset val="128"/>
      <scheme val="minor"/>
    </font>
    <font>
      <b/>
      <sz val="9"/>
      <color indexed="81"/>
      <name val="MS P ゴシック"/>
      <family val="3"/>
      <charset val="128"/>
    </font>
    <font>
      <strike/>
      <sz val="11"/>
      <color theme="1"/>
      <name val="ＭＳ Ｐゴシック"/>
      <family val="3"/>
      <charset val="128"/>
      <scheme val="minor"/>
    </font>
  </fonts>
  <fills count="2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C000"/>
        <bgColor indexed="64"/>
      </patternFill>
    </fill>
    <fill>
      <patternFill patternType="solid">
        <fgColor rgb="FFFFFFCC"/>
        <bgColor indexed="64"/>
      </patternFill>
    </fill>
    <fill>
      <patternFill patternType="solid">
        <fgColor rgb="FF0070C0"/>
        <bgColor indexed="64"/>
      </patternFill>
    </fill>
    <fill>
      <patternFill patternType="solid">
        <fgColor rgb="FFFF6699"/>
        <bgColor indexed="64"/>
      </patternFill>
    </fill>
    <fill>
      <patternFill patternType="solid">
        <fgColor rgb="FFFFFFAF"/>
        <bgColor indexed="64"/>
      </patternFill>
    </fill>
    <fill>
      <patternFill patternType="solid">
        <fgColor rgb="FFFF9933"/>
        <bgColor indexed="64"/>
      </patternFill>
    </fill>
    <fill>
      <patternFill patternType="solid">
        <fgColor rgb="FFCCECFF"/>
        <bgColor indexed="64"/>
      </patternFill>
    </fill>
    <fill>
      <patternFill patternType="solid">
        <fgColor rgb="FFFFE1FF"/>
        <bgColor indexed="64"/>
      </patternFill>
    </fill>
    <fill>
      <patternFill patternType="solid">
        <fgColor rgb="FFFF99CC"/>
        <bgColor indexed="64"/>
      </patternFill>
    </fill>
    <fill>
      <patternFill patternType="solid">
        <fgColor theme="0" tint="-0.14999847407452621"/>
        <bgColor indexed="64"/>
      </patternFill>
    </fill>
    <fill>
      <patternFill patternType="solid">
        <fgColor rgb="FF00E699"/>
        <bgColor indexed="64"/>
      </patternFill>
    </fill>
    <fill>
      <patternFill patternType="solid">
        <fgColor rgb="FFC1FFEA"/>
        <bgColor indexed="64"/>
      </patternFill>
    </fill>
    <fill>
      <patternFill patternType="solid">
        <fgColor rgb="FFFFFF99"/>
        <bgColor indexed="64"/>
      </patternFill>
    </fill>
    <fill>
      <patternFill patternType="solid">
        <fgColor rgb="FFFFE6CD"/>
        <bgColor indexed="64"/>
      </patternFill>
    </fill>
    <fill>
      <patternFill patternType="solid">
        <fgColor rgb="FFFFDDFF"/>
        <bgColor indexed="64"/>
      </patternFill>
    </fill>
    <fill>
      <patternFill patternType="solid">
        <fgColor rgb="FFFFFFD9"/>
        <bgColor indexed="64"/>
      </patternFill>
    </fill>
    <fill>
      <patternFill patternType="solid">
        <fgColor rgb="FF4BD0FF"/>
        <bgColor indexed="64"/>
      </patternFill>
    </fill>
    <fill>
      <patternFill patternType="solid">
        <fgColor rgb="FFE1FFF5"/>
        <bgColor indexed="64"/>
      </patternFill>
    </fill>
    <fill>
      <patternFill patternType="solid">
        <fgColor rgb="FFFFA3FF"/>
        <bgColor indexed="64"/>
      </patternFill>
    </fill>
  </fills>
  <borders count="77">
    <border>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right/>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dott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dotted">
        <color theme="0" tint="-0.499984740745262"/>
      </bottom>
      <diagonal/>
    </border>
    <border>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style="thin">
        <color theme="0" tint="-0.499984740745262"/>
      </right>
      <top/>
      <bottom/>
      <diagonal/>
    </border>
    <border>
      <left/>
      <right/>
      <top/>
      <bottom style="dotted">
        <color theme="0" tint="-0.499984740745262"/>
      </bottom>
      <diagonal/>
    </border>
    <border>
      <left style="thin">
        <color theme="0" tint="-0.499984740745262"/>
      </left>
      <right/>
      <top style="dotted">
        <color theme="0" tint="-0.499984740745262"/>
      </top>
      <bottom style="thin">
        <color theme="0" tint="-0.499984740745262"/>
      </bottom>
      <diagonal/>
    </border>
    <border>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499984740745262"/>
      </left>
      <right/>
      <top/>
      <bottom style="dotted">
        <color theme="0" tint="-0.499984740745262"/>
      </bottom>
      <diagonal/>
    </border>
    <border>
      <left/>
      <right style="thin">
        <color theme="0" tint="-0.499984740745262"/>
      </right>
      <top/>
      <bottom style="dotted">
        <color theme="0" tint="-0.499984740745262"/>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n">
        <color theme="0" tint="-0.499984740745262"/>
      </left>
      <right/>
      <top style="dotted">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style="thin">
        <color theme="0" tint="-0.499984740745262"/>
      </right>
      <top style="dotted">
        <color theme="0" tint="-0.499984740745262"/>
      </top>
      <bottom style="dotted">
        <color theme="0" tint="-0.499984740745262"/>
      </bottom>
      <diagonal/>
    </border>
    <border>
      <left style="thin">
        <color theme="0" tint="-0.499984740745262"/>
      </left>
      <right style="thin">
        <color theme="0" tint="-0.499984740745262"/>
      </right>
      <top style="dotted">
        <color theme="0" tint="-0.499984740745262"/>
      </top>
      <bottom style="dotted">
        <color theme="0" tint="-0.499984740745262"/>
      </bottom>
      <diagonal/>
    </border>
    <border>
      <left style="thin">
        <color theme="0" tint="-0.499984740745262"/>
      </left>
      <right style="thin">
        <color theme="0" tint="-0.499984740745262"/>
      </right>
      <top style="dotted">
        <color theme="0" tint="-0.499984740745262"/>
      </top>
      <bottom style="thin">
        <color theme="0" tint="-0.499984740745262"/>
      </bottom>
      <diagonal/>
    </border>
    <border>
      <left style="thin">
        <color theme="0" tint="-0.499984740745262"/>
      </left>
      <right style="thin">
        <color theme="0" tint="-0.499984740745262"/>
      </right>
      <top/>
      <bottom style="dotted">
        <color theme="0" tint="-0.499984740745262"/>
      </bottom>
      <diagonal/>
    </border>
    <border>
      <left style="thin">
        <color theme="0" tint="-0.499984740745262"/>
      </left>
      <right style="thin">
        <color theme="0" tint="-0.499984740745262"/>
      </right>
      <top style="dotted">
        <color theme="0" tint="-0.499984740745262"/>
      </top>
      <bottom/>
      <diagonal/>
    </border>
  </borders>
  <cellStyleXfs count="7">
    <xf numFmtId="0" fontId="0" fillId="0" borderId="0">
      <alignment vertical="center"/>
    </xf>
    <xf numFmtId="0" fontId="3" fillId="0" borderId="0"/>
    <xf numFmtId="0" fontId="8" fillId="0" borderId="0">
      <alignment vertical="center"/>
    </xf>
    <xf numFmtId="0" fontId="8" fillId="0" borderId="0">
      <alignment vertical="center"/>
    </xf>
    <xf numFmtId="0" fontId="8" fillId="0" borderId="0">
      <alignment vertical="center"/>
    </xf>
    <xf numFmtId="0" fontId="1" fillId="0" borderId="0">
      <alignment vertical="center"/>
    </xf>
    <xf numFmtId="0" fontId="29" fillId="0" borderId="0" applyNumberFormat="0" applyFill="0" applyBorder="0" applyAlignment="0" applyProtection="0">
      <alignment vertical="center"/>
    </xf>
  </cellStyleXfs>
  <cellXfs count="606">
    <xf numFmtId="0" fontId="0" fillId="0" borderId="0" xfId="0">
      <alignment vertical="center"/>
    </xf>
    <xf numFmtId="0" fontId="0" fillId="0" borderId="0" xfId="0" applyAlignment="1">
      <alignment horizontal="right" vertical="center"/>
    </xf>
    <xf numFmtId="177" fontId="0" fillId="0" borderId="0" xfId="0" applyNumberFormat="1">
      <alignment vertical="center"/>
    </xf>
    <xf numFmtId="0" fontId="12" fillId="0" borderId="0" xfId="5" applyFont="1">
      <alignment vertical="center"/>
    </xf>
    <xf numFmtId="0" fontId="0" fillId="0" borderId="0" xfId="0" applyFont="1" applyAlignment="1">
      <alignment vertical="center" wrapText="1"/>
    </xf>
    <xf numFmtId="0" fontId="0" fillId="0" borderId="0" xfId="0" applyFont="1" applyAlignment="1">
      <alignment horizontal="center" vertical="center" wrapText="1"/>
    </xf>
    <xf numFmtId="0" fontId="0" fillId="3" borderId="0" xfId="0" applyFont="1" applyFill="1" applyAlignment="1">
      <alignment horizontal="center" vertical="center" wrapText="1"/>
    </xf>
    <xf numFmtId="0" fontId="0" fillId="2" borderId="8" xfId="0" applyFont="1" applyFill="1" applyBorder="1" applyAlignment="1">
      <alignment horizontal="right" vertical="center" wrapText="1"/>
    </xf>
    <xf numFmtId="0" fontId="0" fillId="0" borderId="9" xfId="0" applyFont="1" applyBorder="1" applyAlignment="1">
      <alignment horizontal="left" vertical="center" wrapText="1"/>
    </xf>
    <xf numFmtId="0" fontId="13" fillId="0" borderId="0" xfId="0" applyFont="1" applyAlignment="1">
      <alignment vertical="center" wrapText="1"/>
    </xf>
    <xf numFmtId="0" fontId="0" fillId="0" borderId="0" xfId="0" applyFont="1" applyAlignment="1">
      <alignment horizontal="left" vertical="center"/>
    </xf>
    <xf numFmtId="0" fontId="0" fillId="2" borderId="10" xfId="0" applyFont="1" applyFill="1" applyBorder="1" applyAlignment="1">
      <alignment horizontal="right" vertical="center" wrapText="1"/>
    </xf>
    <xf numFmtId="0" fontId="0" fillId="0" borderId="11" xfId="0" applyFont="1" applyBorder="1" applyAlignment="1">
      <alignment horizontal="left" vertical="center" wrapText="1"/>
    </xf>
    <xf numFmtId="0" fontId="16" fillId="2" borderId="0" xfId="0" applyFont="1" applyFill="1" applyAlignment="1">
      <alignment horizontal="center" vertical="center" wrapText="1"/>
    </xf>
    <xf numFmtId="0" fontId="0" fillId="0" borderId="0" xfId="0" applyFont="1" applyAlignment="1">
      <alignment horizontal="right" vertical="center" wrapText="1"/>
    </xf>
    <xf numFmtId="0" fontId="0" fillId="2" borderId="12" xfId="0" applyFont="1" applyFill="1" applyBorder="1" applyAlignment="1">
      <alignment horizontal="right" vertical="center" wrapText="1"/>
    </xf>
    <xf numFmtId="0" fontId="0" fillId="0" borderId="13" xfId="0" applyFont="1" applyBorder="1" applyAlignment="1">
      <alignment horizontal="left" vertical="center" wrapText="1"/>
    </xf>
    <xf numFmtId="0" fontId="0" fillId="0" borderId="0" xfId="0" applyFont="1" applyAlignment="1">
      <alignment vertical="center"/>
    </xf>
    <xf numFmtId="0" fontId="0" fillId="2" borderId="14" xfId="0" applyFont="1" applyFill="1" applyBorder="1" applyAlignment="1">
      <alignment horizontal="right" vertical="center" wrapText="1"/>
    </xf>
    <xf numFmtId="14" fontId="0" fillId="0" borderId="15" xfId="0" applyNumberFormat="1" applyFont="1" applyBorder="1" applyAlignment="1">
      <alignment horizontal="left" vertical="center" wrapText="1"/>
    </xf>
    <xf numFmtId="0" fontId="9" fillId="4" borderId="16" xfId="0" applyFont="1" applyFill="1" applyBorder="1" applyAlignment="1">
      <alignment horizontal="center" vertical="center" wrapText="1"/>
    </xf>
    <xf numFmtId="0" fontId="9" fillId="4" borderId="16" xfId="0" applyFont="1" applyFill="1" applyBorder="1" applyAlignment="1">
      <alignment vertical="center" wrapText="1"/>
    </xf>
    <xf numFmtId="0" fontId="0" fillId="5" borderId="3" xfId="0" applyFont="1" applyFill="1" applyBorder="1" applyAlignment="1">
      <alignment horizontal="center" vertical="center" wrapText="1"/>
    </xf>
    <xf numFmtId="0" fontId="0" fillId="2" borderId="2" xfId="0" applyFont="1" applyFill="1" applyBorder="1" applyAlignment="1">
      <alignment horizontal="center" vertical="center"/>
    </xf>
    <xf numFmtId="0" fontId="0" fillId="0" borderId="1" xfId="0" applyFont="1" applyFill="1" applyBorder="1" applyAlignment="1">
      <alignment horizontal="center" vertical="top" wrapText="1"/>
    </xf>
    <xf numFmtId="0" fontId="14"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3" xfId="0" applyFont="1" applyFill="1" applyBorder="1" applyAlignment="1">
      <alignment horizontal="center" vertical="center" wrapText="1"/>
    </xf>
    <xf numFmtId="176" fontId="0" fillId="0" borderId="4" xfId="0" applyNumberFormat="1"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0" borderId="0" xfId="0" applyFont="1" applyFill="1" applyAlignment="1">
      <alignment vertical="center" wrapText="1"/>
    </xf>
    <xf numFmtId="0" fontId="0" fillId="0" borderId="0" xfId="0" applyBorder="1">
      <alignment vertical="center"/>
    </xf>
    <xf numFmtId="0" fontId="0" fillId="13" borderId="3"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0" fillId="0" borderId="0" xfId="0" applyBorder="1" applyAlignment="1">
      <alignment horizontal="center" vertical="center"/>
    </xf>
    <xf numFmtId="0" fontId="14" fillId="0" borderId="3" xfId="0"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0" fontId="14" fillId="0" borderId="5" xfId="0" applyFont="1" applyFill="1" applyBorder="1" applyAlignment="1">
      <alignment horizontal="center" vertical="center" wrapText="1"/>
    </xf>
    <xf numFmtId="0" fontId="0" fillId="0" borderId="42" xfId="0" applyBorder="1" applyAlignment="1">
      <alignment horizontal="center" vertical="center"/>
    </xf>
    <xf numFmtId="0" fontId="0" fillId="0" borderId="46" xfId="0" applyBorder="1" applyAlignment="1">
      <alignment horizontal="center" vertical="center"/>
    </xf>
    <xf numFmtId="0" fontId="0" fillId="0" borderId="48"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58" xfId="0" applyBorder="1" applyAlignment="1">
      <alignment horizontal="center" vertical="center"/>
    </xf>
    <xf numFmtId="0" fontId="0" fillId="0" borderId="59" xfId="0" applyBorder="1">
      <alignment vertical="center"/>
    </xf>
    <xf numFmtId="0" fontId="0" fillId="0" borderId="60" xfId="0" applyBorder="1">
      <alignment vertical="center"/>
    </xf>
    <xf numFmtId="0" fontId="0" fillId="0" borderId="48" xfId="0" applyBorder="1">
      <alignment vertical="center"/>
    </xf>
    <xf numFmtId="0" fontId="0" fillId="0" borderId="43" xfId="0" applyBorder="1">
      <alignment vertical="center"/>
    </xf>
    <xf numFmtId="0" fontId="0" fillId="0" borderId="53" xfId="0" applyBorder="1">
      <alignment vertical="center"/>
    </xf>
    <xf numFmtId="0" fontId="0" fillId="15" borderId="49" xfId="0" applyFill="1" applyBorder="1" applyAlignment="1">
      <alignment vertical="center"/>
    </xf>
    <xf numFmtId="0" fontId="0" fillId="15" borderId="50" xfId="0" applyFill="1" applyBorder="1" applyAlignment="1">
      <alignment vertical="center"/>
    </xf>
    <xf numFmtId="0" fontId="0" fillId="15" borderId="51" xfId="0" applyFill="1" applyBorder="1" applyAlignment="1">
      <alignment vertical="center"/>
    </xf>
    <xf numFmtId="0" fontId="0" fillId="17" borderId="42" xfId="0" applyFill="1" applyBorder="1" applyAlignment="1">
      <alignment horizontal="center" vertical="center"/>
    </xf>
    <xf numFmtId="0" fontId="19" fillId="12" borderId="45" xfId="0" applyFont="1" applyFill="1" applyBorder="1" applyAlignment="1">
      <alignment horizontal="center" vertical="center" wrapText="1"/>
    </xf>
    <xf numFmtId="0" fontId="21" fillId="0" borderId="0" xfId="0" applyFont="1" applyBorder="1" applyAlignment="1">
      <alignment horizontal="center" vertical="center" wrapText="1"/>
    </xf>
    <xf numFmtId="0" fontId="0" fillId="0" borderId="42" xfId="0" applyFill="1" applyBorder="1" applyAlignment="1">
      <alignment horizontal="center" vertical="center"/>
    </xf>
    <xf numFmtId="0" fontId="0" fillId="0" borderId="0" xfId="0" applyBorder="1" applyAlignment="1">
      <alignment vertical="center" wrapText="1"/>
    </xf>
    <xf numFmtId="0" fontId="0" fillId="0" borderId="44" xfId="0" applyBorder="1" applyAlignment="1">
      <alignment horizontal="center" vertical="center"/>
    </xf>
    <xf numFmtId="0" fontId="0" fillId="0" borderId="73" xfId="0" applyBorder="1" applyAlignment="1">
      <alignment horizontal="center" vertical="center"/>
    </xf>
    <xf numFmtId="0" fontId="0" fillId="0" borderId="72" xfId="0" applyBorder="1" applyAlignment="1">
      <alignment horizontal="center" vertical="center"/>
    </xf>
    <xf numFmtId="0" fontId="0" fillId="0" borderId="47" xfId="0" applyBorder="1">
      <alignment vertical="center"/>
    </xf>
    <xf numFmtId="0" fontId="0" fillId="0" borderId="74" xfId="0" applyBorder="1" applyAlignment="1">
      <alignment horizontal="center" vertical="center"/>
    </xf>
    <xf numFmtId="0" fontId="0" fillId="0" borderId="76" xfId="0" applyBorder="1" applyAlignment="1">
      <alignment horizontal="center" vertical="center"/>
    </xf>
    <xf numFmtId="0" fontId="0" fillId="0" borderId="45" xfId="0" applyBorder="1" applyAlignment="1">
      <alignment horizontal="center" vertical="center"/>
    </xf>
    <xf numFmtId="0" fontId="0" fillId="0" borderId="57" xfId="0" applyBorder="1" applyAlignment="1">
      <alignment horizontal="center" vertical="center"/>
    </xf>
    <xf numFmtId="0" fontId="0" fillId="0" borderId="59" xfId="0" applyBorder="1" applyAlignment="1">
      <alignment horizontal="center" vertical="center"/>
    </xf>
    <xf numFmtId="0" fontId="0" fillId="0" borderId="44" xfId="0" applyBorder="1" applyAlignment="1">
      <alignment horizontal="center" vertical="center"/>
    </xf>
    <xf numFmtId="0" fontId="0" fillId="0" borderId="73" xfId="0" applyBorder="1" applyAlignment="1">
      <alignment horizontal="center" vertical="center"/>
    </xf>
    <xf numFmtId="0" fontId="0" fillId="0" borderId="72" xfId="0" applyBorder="1" applyAlignment="1">
      <alignment horizontal="center" vertical="center"/>
    </xf>
    <xf numFmtId="0" fontId="0" fillId="0" borderId="74" xfId="0" applyBorder="1" applyAlignment="1">
      <alignment horizontal="center" vertical="center"/>
    </xf>
    <xf numFmtId="0" fontId="0" fillId="0" borderId="76" xfId="0" applyBorder="1" applyAlignment="1">
      <alignment horizontal="center" vertical="center"/>
    </xf>
    <xf numFmtId="0" fontId="13" fillId="0" borderId="0" xfId="0" applyFont="1">
      <alignment vertical="center"/>
    </xf>
    <xf numFmtId="0" fontId="13" fillId="20" borderId="6" xfId="0" applyFont="1" applyFill="1" applyBorder="1" applyAlignment="1">
      <alignment horizontal="center" vertical="center" wrapText="1"/>
    </xf>
    <xf numFmtId="0" fontId="22" fillId="0" borderId="0" xfId="0" applyFont="1">
      <alignment vertical="center"/>
    </xf>
    <xf numFmtId="0" fontId="0" fillId="16" borderId="1" xfId="0" applyFont="1" applyFill="1" applyBorder="1" applyAlignment="1">
      <alignment horizontal="center" vertical="top" wrapText="1"/>
    </xf>
    <xf numFmtId="0" fontId="22" fillId="16" borderId="1" xfId="0" applyFont="1" applyFill="1" applyBorder="1" applyAlignment="1">
      <alignment horizontal="left" vertical="top" wrapText="1"/>
    </xf>
    <xf numFmtId="0" fontId="0" fillId="16" borderId="1" xfId="0" applyFont="1" applyFill="1" applyBorder="1" applyAlignment="1">
      <alignment horizontal="left" vertical="top" wrapText="1"/>
    </xf>
    <xf numFmtId="0" fontId="0" fillId="14" borderId="1" xfId="0" applyFont="1" applyFill="1" applyBorder="1" applyAlignment="1">
      <alignment horizontal="center" vertical="top" wrapText="1"/>
    </xf>
    <xf numFmtId="0" fontId="14" fillId="14" borderId="1" xfId="0" applyFont="1" applyFill="1" applyBorder="1" applyAlignment="1">
      <alignment horizontal="left" vertical="top" wrapText="1"/>
    </xf>
    <xf numFmtId="0" fontId="0" fillId="14" borderId="1" xfId="0" applyFont="1" applyFill="1" applyBorder="1" applyAlignment="1">
      <alignment horizontal="left" vertical="top" wrapText="1"/>
    </xf>
    <xf numFmtId="0" fontId="0" fillId="14" borderId="3" xfId="0" applyFont="1" applyFill="1" applyBorder="1" applyAlignment="1">
      <alignment horizontal="center" vertical="center" wrapText="1"/>
    </xf>
    <xf numFmtId="176" fontId="0" fillId="14" borderId="4" xfId="0" applyNumberFormat="1" applyFont="1" applyFill="1" applyBorder="1" applyAlignment="1">
      <alignment horizontal="center" vertical="center" wrapText="1"/>
    </xf>
    <xf numFmtId="0" fontId="0" fillId="14" borderId="5" xfId="0" applyFont="1" applyFill="1" applyBorder="1" applyAlignment="1">
      <alignment horizontal="center" vertical="center" wrapText="1"/>
    </xf>
    <xf numFmtId="0" fontId="0" fillId="14" borderId="6" xfId="0" applyFont="1" applyFill="1" applyBorder="1" applyAlignment="1">
      <alignment horizontal="center" vertical="center" wrapText="1"/>
    </xf>
    <xf numFmtId="0" fontId="0" fillId="0" borderId="42" xfId="0" applyBorder="1" applyAlignment="1">
      <alignment horizontal="center" vertical="center"/>
    </xf>
    <xf numFmtId="0" fontId="0" fillId="0" borderId="58" xfId="0" applyBorder="1" applyAlignment="1">
      <alignment horizontal="center" vertical="center"/>
    </xf>
    <xf numFmtId="0" fontId="14" fillId="0" borderId="42" xfId="0" applyFont="1" applyBorder="1" applyAlignment="1">
      <alignment horizontal="center" vertical="center"/>
    </xf>
    <xf numFmtId="0" fontId="19" fillId="11" borderId="45" xfId="0" applyFont="1" applyFill="1" applyBorder="1" applyAlignment="1">
      <alignment horizontal="center" vertical="center" wrapText="1"/>
    </xf>
    <xf numFmtId="0" fontId="0" fillId="0" borderId="57" xfId="0" applyFill="1" applyBorder="1" applyAlignment="1">
      <alignment horizontal="center" vertical="center"/>
    </xf>
    <xf numFmtId="0" fontId="0" fillId="0" borderId="45" xfId="0" applyFill="1" applyBorder="1" applyAlignment="1">
      <alignment horizontal="center" vertical="center"/>
    </xf>
    <xf numFmtId="0" fontId="0" fillId="0" borderId="58" xfId="0" applyFill="1" applyBorder="1" applyAlignment="1">
      <alignment horizontal="center" vertical="center"/>
    </xf>
    <xf numFmtId="0" fontId="19" fillId="2" borderId="2" xfId="0" applyFont="1" applyFill="1" applyBorder="1" applyAlignment="1">
      <alignment horizontal="left" vertical="center"/>
    </xf>
    <xf numFmtId="0" fontId="0" fillId="19" borderId="42" xfId="0" applyFill="1" applyBorder="1" applyAlignment="1">
      <alignment horizontal="center" vertical="center"/>
    </xf>
    <xf numFmtId="0" fontId="13" fillId="6" borderId="6" xfId="0" applyFont="1" applyFill="1" applyBorder="1" applyAlignment="1">
      <alignment horizontal="center" vertical="center" wrapText="1"/>
    </xf>
    <xf numFmtId="0" fontId="0" fillId="0" borderId="32" xfId="0" applyNumberFormat="1" applyBorder="1" applyAlignment="1">
      <alignment horizontal="right" vertical="center"/>
    </xf>
    <xf numFmtId="0" fontId="0" fillId="0" borderId="33" xfId="0" applyNumberFormat="1" applyBorder="1" applyAlignment="1">
      <alignment horizontal="right" vertical="center"/>
    </xf>
    <xf numFmtId="0" fontId="0" fillId="0" borderId="34" xfId="0" applyNumberFormat="1" applyBorder="1" applyAlignment="1">
      <alignment horizontal="right" vertical="center"/>
    </xf>
    <xf numFmtId="0" fontId="0" fillId="6" borderId="35" xfId="0" applyFill="1" applyBorder="1" applyAlignment="1">
      <alignment horizontal="center" vertical="center"/>
    </xf>
    <xf numFmtId="0" fontId="0" fillId="6" borderId="37" xfId="0" applyFill="1" applyBorder="1" applyAlignment="1">
      <alignment horizontal="center" vertical="center"/>
    </xf>
    <xf numFmtId="0" fontId="0" fillId="6" borderId="30" xfId="0" applyFill="1" applyBorder="1" applyAlignment="1">
      <alignment horizontal="center" vertical="center"/>
    </xf>
    <xf numFmtId="0" fontId="0" fillId="6" borderId="31" xfId="0" applyFill="1" applyBorder="1" applyAlignment="1">
      <alignment horizontal="center" vertical="center"/>
    </xf>
    <xf numFmtId="177" fontId="0" fillId="0" borderId="35" xfId="0" applyNumberFormat="1" applyBorder="1" applyAlignment="1">
      <alignment horizontal="center" vertical="center"/>
    </xf>
    <xf numFmtId="177" fontId="0" fillId="0" borderId="37" xfId="0" applyNumberFormat="1" applyBorder="1" applyAlignment="1">
      <alignment horizontal="center" vertical="center"/>
    </xf>
    <xf numFmtId="177" fontId="0" fillId="0" borderId="30" xfId="0" applyNumberFormat="1" applyBorder="1" applyAlignment="1">
      <alignment horizontal="center" vertical="center"/>
    </xf>
    <xf numFmtId="177" fontId="0" fillId="0" borderId="31"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18"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0" xfId="0" applyNumberFormat="1" applyBorder="1" applyAlignment="1">
      <alignment horizontal="center" vertical="center"/>
    </xf>
    <xf numFmtId="0" fontId="0" fillId="0" borderId="3" xfId="0" applyBorder="1" applyAlignment="1">
      <alignment horizontal="center" vertical="center"/>
    </xf>
    <xf numFmtId="0" fontId="0" fillId="0" borderId="27" xfId="0" applyNumberFormat="1" applyBorder="1" applyAlignment="1">
      <alignment horizontal="right" vertical="center"/>
    </xf>
    <xf numFmtId="0" fontId="0" fillId="0" borderId="28" xfId="0" applyNumberFormat="1" applyBorder="1" applyAlignment="1">
      <alignment horizontal="right" vertical="center"/>
    </xf>
    <xf numFmtId="0" fontId="0" fillId="0" borderId="29" xfId="0" applyNumberFormat="1" applyBorder="1" applyAlignment="1">
      <alignment horizontal="right" vertical="center"/>
    </xf>
    <xf numFmtId="0" fontId="0" fillId="0" borderId="21" xfId="0" applyNumberFormat="1" applyBorder="1" applyAlignment="1">
      <alignment horizontal="right" vertical="center"/>
    </xf>
    <xf numFmtId="0" fontId="0" fillId="0" borderId="22" xfId="0" applyNumberFormat="1" applyBorder="1" applyAlignment="1">
      <alignment horizontal="right" vertical="center"/>
    </xf>
    <xf numFmtId="0" fontId="0" fillId="0" borderId="23" xfId="0" applyNumberFormat="1" applyBorder="1" applyAlignment="1">
      <alignment horizontal="right" vertical="center"/>
    </xf>
    <xf numFmtId="0" fontId="0" fillId="6" borderId="17" xfId="0" applyFill="1" applyBorder="1" applyAlignment="1">
      <alignment horizontal="center" vertical="center"/>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0" fillId="6" borderId="20" xfId="0" applyFill="1" applyBorder="1" applyAlignment="1">
      <alignment horizontal="center" vertical="center"/>
    </xf>
    <xf numFmtId="177" fontId="0" fillId="0" borderId="1" xfId="0" applyNumberFormat="1" applyBorder="1" applyAlignment="1">
      <alignment horizontal="center" vertical="center"/>
    </xf>
    <xf numFmtId="177" fontId="0" fillId="0" borderId="3" xfId="0" applyNumberFormat="1" applyBorder="1" applyAlignment="1">
      <alignment horizontal="center" vertical="center"/>
    </xf>
    <xf numFmtId="0" fontId="0" fillId="6" borderId="35" xfId="0" applyFill="1" applyBorder="1" applyAlignment="1">
      <alignment horizontal="left" vertical="center"/>
    </xf>
    <xf numFmtId="0" fontId="0" fillId="6" borderId="36" xfId="0" applyFill="1" applyBorder="1" applyAlignment="1">
      <alignment horizontal="left" vertical="center"/>
    </xf>
    <xf numFmtId="0" fontId="0" fillId="6" borderId="37" xfId="0" applyFill="1" applyBorder="1" applyAlignment="1">
      <alignment horizontal="left" vertical="center"/>
    </xf>
    <xf numFmtId="0" fontId="0" fillId="6" borderId="17" xfId="0" applyFill="1" applyBorder="1" applyAlignment="1">
      <alignment horizontal="left" vertical="center"/>
    </xf>
    <xf numFmtId="0" fontId="0" fillId="6" borderId="0" xfId="0" applyFill="1" applyBorder="1" applyAlignment="1">
      <alignment horizontal="left" vertical="center"/>
    </xf>
    <xf numFmtId="0" fontId="0" fillId="6" borderId="18" xfId="0" applyFill="1" applyBorder="1" applyAlignment="1">
      <alignment horizontal="left" vertical="center"/>
    </xf>
    <xf numFmtId="0" fontId="0" fillId="6" borderId="19" xfId="0" applyFill="1" applyBorder="1" applyAlignment="1">
      <alignment horizontal="left" vertical="center"/>
    </xf>
    <xf numFmtId="0" fontId="0" fillId="6" borderId="25" xfId="0" applyFill="1" applyBorder="1" applyAlignment="1">
      <alignment horizontal="left" vertical="center"/>
    </xf>
    <xf numFmtId="0" fontId="0" fillId="6" borderId="20" xfId="0" applyFill="1" applyBorder="1" applyAlignment="1">
      <alignment horizontal="left" vertical="center"/>
    </xf>
    <xf numFmtId="0" fontId="0" fillId="0" borderId="35" xfId="0" applyNumberFormat="1" applyBorder="1" applyAlignment="1">
      <alignment horizontal="center" vertical="center"/>
    </xf>
    <xf numFmtId="0" fontId="0" fillId="0" borderId="36" xfId="0" applyNumberFormat="1" applyBorder="1" applyAlignment="1">
      <alignment horizontal="center" vertical="center"/>
    </xf>
    <xf numFmtId="0" fontId="0" fillId="0" borderId="37" xfId="0" applyNumberFormat="1" applyBorder="1" applyAlignment="1">
      <alignment horizontal="center" vertical="center"/>
    </xf>
    <xf numFmtId="0" fontId="0" fillId="0" borderId="30" xfId="0" applyNumberFormat="1" applyBorder="1" applyAlignment="1">
      <alignment horizontal="center" vertical="center"/>
    </xf>
    <xf numFmtId="0" fontId="0" fillId="0" borderId="38" xfId="0" applyNumberFormat="1" applyBorder="1" applyAlignment="1">
      <alignment horizontal="center" vertical="center"/>
    </xf>
    <xf numFmtId="0" fontId="0" fillId="0" borderId="31" xfId="0" applyNumberFormat="1" applyBorder="1" applyAlignment="1">
      <alignment horizontal="center" vertical="center"/>
    </xf>
    <xf numFmtId="0" fontId="0" fillId="6" borderId="36" xfId="0" applyFill="1" applyBorder="1" applyAlignment="1">
      <alignment horizontal="center" vertical="center"/>
    </xf>
    <xf numFmtId="0" fontId="0" fillId="6" borderId="0" xfId="0" applyFill="1" applyBorder="1" applyAlignment="1">
      <alignment horizontal="center" vertical="center"/>
    </xf>
    <xf numFmtId="0" fontId="0" fillId="6" borderId="25" xfId="0" applyFill="1" applyBorder="1" applyAlignment="1">
      <alignment horizontal="center" vertical="center"/>
    </xf>
    <xf numFmtId="0" fontId="0" fillId="6" borderId="32" xfId="0" applyFill="1" applyBorder="1" applyAlignment="1">
      <alignment horizontal="center" vertical="center"/>
    </xf>
    <xf numFmtId="0" fontId="0" fillId="6" borderId="34" xfId="0" applyFill="1" applyBorder="1" applyAlignment="1">
      <alignment horizontal="center" vertical="center"/>
    </xf>
    <xf numFmtId="0" fontId="0" fillId="6" borderId="27" xfId="0" applyFill="1" applyBorder="1" applyAlignment="1">
      <alignment horizontal="center" vertical="center"/>
    </xf>
    <xf numFmtId="0" fontId="0" fillId="6" borderId="29" xfId="0" applyFill="1" applyBorder="1" applyAlignment="1">
      <alignment horizontal="center" vertical="center"/>
    </xf>
    <xf numFmtId="0" fontId="0" fillId="6" borderId="39" xfId="0" applyFill="1" applyBorder="1" applyAlignment="1">
      <alignment horizontal="center" vertical="center"/>
    </xf>
    <xf numFmtId="0" fontId="0" fillId="6" borderId="40" xfId="0" applyFill="1" applyBorder="1" applyAlignment="1">
      <alignment horizontal="center" vertical="center"/>
    </xf>
    <xf numFmtId="0" fontId="0" fillId="0" borderId="39" xfId="0" applyNumberFormat="1" applyBorder="1" applyAlignment="1">
      <alignment horizontal="center" vertical="center"/>
    </xf>
    <xf numFmtId="0" fontId="0" fillId="0" borderId="41" xfId="0" applyNumberFormat="1" applyBorder="1" applyAlignment="1">
      <alignment horizontal="center" vertical="center"/>
    </xf>
    <xf numFmtId="0" fontId="0" fillId="0" borderId="40" xfId="0" applyNumberFormat="1" applyBorder="1" applyAlignment="1">
      <alignment horizontal="center" vertical="center"/>
    </xf>
    <xf numFmtId="0" fontId="0" fillId="6" borderId="21" xfId="0" applyFill="1" applyBorder="1" applyAlignment="1">
      <alignment horizontal="center" vertical="center"/>
    </xf>
    <xf numFmtId="0" fontId="0" fillId="6" borderId="23" xfId="0" applyFill="1" applyBorder="1" applyAlignment="1">
      <alignment horizontal="center" vertical="center"/>
    </xf>
    <xf numFmtId="0" fontId="0" fillId="0" borderId="17"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9" fillId="8" borderId="3" xfId="0" applyFont="1" applyFill="1" applyBorder="1" applyAlignment="1">
      <alignment horizontal="center" vertical="center"/>
    </xf>
    <xf numFmtId="0" fontId="0" fillId="0" borderId="1" xfId="0" applyNumberFormat="1" applyBorder="1" applyAlignment="1">
      <alignment horizontal="right" vertical="center"/>
    </xf>
    <xf numFmtId="0" fontId="0" fillId="6" borderId="1" xfId="0" applyFill="1" applyBorder="1" applyAlignment="1">
      <alignment horizontal="center" vertical="center"/>
    </xf>
    <xf numFmtId="0" fontId="9" fillId="8" borderId="7"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6" xfId="0" applyFont="1" applyFill="1" applyBorder="1" applyAlignment="1">
      <alignment horizontal="center" vertical="center"/>
    </xf>
    <xf numFmtId="0" fontId="0" fillId="0" borderId="1" xfId="0" applyBorder="1" applyAlignment="1">
      <alignment horizontal="right" vertical="center"/>
    </xf>
    <xf numFmtId="0" fontId="0" fillId="6" borderId="3" xfId="0" applyFill="1" applyBorder="1" applyAlignment="1">
      <alignment horizontal="center" vertical="center"/>
    </xf>
    <xf numFmtId="0" fontId="0" fillId="0" borderId="26" xfId="0" applyBorder="1" applyAlignment="1">
      <alignment horizontal="right" vertical="center"/>
    </xf>
    <xf numFmtId="0" fontId="0" fillId="0" borderId="24" xfId="0" applyNumberFormat="1" applyBorder="1" applyAlignment="1">
      <alignment horizontal="right" vertical="center"/>
    </xf>
    <xf numFmtId="0" fontId="0" fillId="0" borderId="24" xfId="0" applyBorder="1" applyAlignment="1">
      <alignment horizontal="right" vertical="center"/>
    </xf>
    <xf numFmtId="0" fontId="0" fillId="6" borderId="24" xfId="0" applyFill="1" applyBorder="1" applyAlignment="1">
      <alignment horizontal="center" vertical="center"/>
    </xf>
    <xf numFmtId="0" fontId="0" fillId="6" borderId="26" xfId="0" applyFill="1" applyBorder="1" applyAlignment="1">
      <alignment horizontal="center" vertical="center"/>
    </xf>
    <xf numFmtId="0" fontId="0" fillId="0" borderId="26" xfId="0" applyNumberFormat="1" applyBorder="1" applyAlignment="1">
      <alignment horizontal="right" vertical="center"/>
    </xf>
    <xf numFmtId="0" fontId="0" fillId="2" borderId="7" xfId="0" applyFont="1" applyFill="1" applyBorder="1" applyAlignment="1">
      <alignment horizontal="left" vertical="center" wrapText="1"/>
    </xf>
    <xf numFmtId="0" fontId="0" fillId="2" borderId="2" xfId="0" applyFont="1" applyFill="1" applyBorder="1" applyAlignment="1">
      <alignment horizontal="left" vertical="center" wrapText="1"/>
    </xf>
    <xf numFmtId="0" fontId="17" fillId="12" borderId="19" xfId="0" applyFont="1" applyFill="1" applyBorder="1" applyAlignment="1">
      <alignment horizontal="center" vertical="center" wrapText="1"/>
    </xf>
    <xf numFmtId="0" fontId="17" fillId="12" borderId="25" xfId="0" applyFont="1" applyFill="1" applyBorder="1" applyAlignment="1">
      <alignment horizontal="center" vertical="center" wrapText="1"/>
    </xf>
    <xf numFmtId="0" fontId="17" fillId="12" borderId="20" xfId="0" applyFont="1" applyFill="1" applyBorder="1" applyAlignment="1">
      <alignment horizontal="center" vertical="center" wrapText="1"/>
    </xf>
    <xf numFmtId="0" fontId="15" fillId="7" borderId="35" xfId="0" applyFont="1" applyFill="1" applyBorder="1" applyAlignment="1">
      <alignment horizontal="left" vertical="center" wrapText="1"/>
    </xf>
    <xf numFmtId="0" fontId="15" fillId="7" borderId="36" xfId="0" applyFont="1" applyFill="1" applyBorder="1" applyAlignment="1">
      <alignment horizontal="left" vertical="center" wrapText="1"/>
    </xf>
    <xf numFmtId="0" fontId="15" fillId="7" borderId="37" xfId="0" applyFont="1" applyFill="1" applyBorder="1" applyAlignment="1">
      <alignment horizontal="left" vertical="center" wrapText="1"/>
    </xf>
    <xf numFmtId="0" fontId="15" fillId="7" borderId="19" xfId="0" applyFont="1" applyFill="1" applyBorder="1" applyAlignment="1">
      <alignment horizontal="left" vertical="center" wrapText="1"/>
    </xf>
    <xf numFmtId="0" fontId="15" fillId="7" borderId="25" xfId="0" applyFont="1" applyFill="1" applyBorder="1" applyAlignment="1">
      <alignment horizontal="left" vertical="center" wrapText="1"/>
    </xf>
    <xf numFmtId="0" fontId="15" fillId="7" borderId="20" xfId="0" applyFont="1" applyFill="1" applyBorder="1" applyAlignment="1">
      <alignment horizontal="left" vertical="center" wrapText="1"/>
    </xf>
    <xf numFmtId="0" fontId="15" fillId="8" borderId="7"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10" borderId="7"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7" fillId="9" borderId="7"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15" fillId="10" borderId="6" xfId="0" applyFont="1" applyFill="1" applyBorder="1" applyAlignment="1">
      <alignment horizontal="center" vertical="center" wrapText="1"/>
    </xf>
    <xf numFmtId="0" fontId="0" fillId="17" borderId="57" xfId="0" applyFill="1" applyBorder="1" applyAlignment="1">
      <alignment horizontal="center" vertical="center"/>
    </xf>
    <xf numFmtId="0" fontId="0" fillId="17" borderId="58" xfId="0" applyFill="1" applyBorder="1" applyAlignment="1">
      <alignment horizontal="center" vertical="center"/>
    </xf>
    <xf numFmtId="0" fontId="0" fillId="17" borderId="45" xfId="0" applyFill="1" applyBorder="1" applyAlignment="1">
      <alignment horizontal="center" vertical="center"/>
    </xf>
    <xf numFmtId="0" fontId="16" fillId="17" borderId="49" xfId="0" applyFont="1" applyFill="1" applyBorder="1" applyAlignment="1">
      <alignment horizontal="center" vertical="center"/>
    </xf>
    <xf numFmtId="0" fontId="16" fillId="17" borderId="50" xfId="0" applyFont="1" applyFill="1" applyBorder="1" applyAlignment="1">
      <alignment horizontal="center" vertical="center"/>
    </xf>
    <xf numFmtId="0" fontId="16" fillId="17" borderId="51" xfId="0" applyFont="1" applyFill="1" applyBorder="1" applyAlignment="1">
      <alignment horizontal="center" vertical="center"/>
    </xf>
    <xf numFmtId="0" fontId="0" fillId="15" borderId="49" xfId="0" applyFill="1" applyBorder="1" applyAlignment="1">
      <alignment horizontal="center" vertical="center"/>
    </xf>
    <xf numFmtId="0" fontId="0" fillId="15" borderId="50" xfId="0" applyFill="1" applyBorder="1" applyAlignment="1">
      <alignment horizontal="center" vertical="center"/>
    </xf>
    <xf numFmtId="0" fontId="0" fillId="15" borderId="51" xfId="0" applyFill="1" applyBorder="1" applyAlignment="1">
      <alignment horizontal="center" vertical="center"/>
    </xf>
    <xf numFmtId="0" fontId="0" fillId="4" borderId="49" xfId="0" applyFill="1" applyBorder="1" applyAlignment="1">
      <alignment horizontal="center" vertical="center"/>
    </xf>
    <xf numFmtId="0" fontId="0" fillId="4" borderId="50" xfId="0" applyFill="1" applyBorder="1" applyAlignment="1">
      <alignment horizontal="center" vertical="center"/>
    </xf>
    <xf numFmtId="0" fontId="0" fillId="4" borderId="51" xfId="0" applyFill="1" applyBorder="1" applyAlignment="1">
      <alignment horizontal="center" vertical="center"/>
    </xf>
    <xf numFmtId="0" fontId="0" fillId="16" borderId="44" xfId="0" applyFill="1" applyBorder="1" applyAlignment="1">
      <alignment horizontal="center" vertical="center"/>
    </xf>
    <xf numFmtId="0" fontId="19" fillId="11" borderId="42" xfId="0" applyFont="1" applyFill="1" applyBorder="1" applyAlignment="1">
      <alignment horizontal="center" vertical="center" wrapText="1"/>
    </xf>
    <xf numFmtId="0" fontId="0" fillId="0" borderId="42"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21" fillId="0" borderId="42" xfId="0" applyFont="1" applyBorder="1" applyAlignment="1">
      <alignment horizontal="center" vertical="center" wrapText="1"/>
    </xf>
    <xf numFmtId="0" fontId="21" fillId="0" borderId="42" xfId="0" applyFont="1" applyBorder="1" applyAlignment="1">
      <alignment horizontal="center" vertical="center"/>
    </xf>
    <xf numFmtId="0" fontId="19" fillId="11" borderId="46" xfId="0" applyFont="1" applyFill="1" applyBorder="1" applyAlignment="1">
      <alignment horizontal="center" vertical="center" wrapText="1"/>
    </xf>
    <xf numFmtId="0" fontId="19" fillId="11" borderId="47" xfId="0" applyFont="1" applyFill="1" applyBorder="1" applyAlignment="1">
      <alignment horizontal="center" vertical="center" wrapText="1"/>
    </xf>
    <xf numFmtId="0" fontId="19" fillId="11" borderId="52" xfId="0" applyFont="1" applyFill="1" applyBorder="1" applyAlignment="1">
      <alignment horizontal="center" vertical="center" wrapText="1"/>
    </xf>
    <xf numFmtId="0" fontId="19" fillId="11" borderId="48"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53" xfId="0" applyFont="1" applyFill="1" applyBorder="1" applyAlignment="1">
      <alignment horizontal="center" vertical="center" wrapText="1"/>
    </xf>
    <xf numFmtId="0" fontId="0" fillId="11" borderId="54" xfId="0" applyFill="1" applyBorder="1" applyAlignment="1">
      <alignment horizontal="center" vertical="center"/>
    </xf>
    <xf numFmtId="0" fontId="0" fillId="11" borderId="55" xfId="0" applyFill="1" applyBorder="1" applyAlignment="1">
      <alignment horizontal="center" vertical="center"/>
    </xf>
    <xf numFmtId="0" fontId="0" fillId="11" borderId="56" xfId="0" applyFill="1" applyBorder="1" applyAlignment="1">
      <alignment horizontal="center" vertical="center"/>
    </xf>
    <xf numFmtId="0" fontId="0" fillId="16" borderId="45" xfId="0" applyFill="1" applyBorder="1" applyAlignment="1">
      <alignment horizontal="center" vertical="center"/>
    </xf>
    <xf numFmtId="0" fontId="0" fillId="11" borderId="45" xfId="0" applyFill="1" applyBorder="1" applyAlignment="1">
      <alignment horizontal="center" vertical="center"/>
    </xf>
    <xf numFmtId="0" fontId="19" fillId="11" borderId="45" xfId="0" applyFont="1" applyFill="1" applyBorder="1" applyAlignment="1">
      <alignment horizontal="center" vertical="center" wrapText="1"/>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52"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21" fillId="0" borderId="46" xfId="0" applyFont="1" applyBorder="1" applyAlignment="1">
      <alignment horizontal="center" vertical="top" wrapText="1"/>
    </xf>
    <xf numFmtId="0" fontId="21" fillId="0" borderId="47" xfId="0" applyFont="1" applyBorder="1" applyAlignment="1">
      <alignment horizontal="center" vertical="top" wrapText="1"/>
    </xf>
    <xf numFmtId="0" fontId="21" fillId="0" borderId="52" xfId="0" applyFont="1" applyBorder="1" applyAlignment="1">
      <alignment horizontal="center" vertical="top" wrapText="1"/>
    </xf>
    <xf numFmtId="0" fontId="21" fillId="0" borderId="59" xfId="0" applyFont="1" applyBorder="1" applyAlignment="1">
      <alignment horizontal="center" vertical="top" wrapText="1"/>
    </xf>
    <xf numFmtId="0" fontId="21" fillId="0" borderId="0" xfId="0" applyFont="1" applyBorder="1" applyAlignment="1">
      <alignment horizontal="center" vertical="top" wrapText="1"/>
    </xf>
    <xf numFmtId="0" fontId="21" fillId="0" borderId="60" xfId="0" applyFont="1" applyBorder="1" applyAlignment="1">
      <alignment horizontal="center" vertical="top" wrapText="1"/>
    </xf>
    <xf numFmtId="0" fontId="21" fillId="0" borderId="48" xfId="0" applyFont="1" applyBorder="1" applyAlignment="1">
      <alignment horizontal="center" vertical="top" wrapText="1"/>
    </xf>
    <xf numFmtId="0" fontId="21" fillId="0" borderId="43" xfId="0" applyFont="1" applyBorder="1" applyAlignment="1">
      <alignment horizontal="center" vertical="top" wrapText="1"/>
    </xf>
    <xf numFmtId="0" fontId="21" fillId="0" borderId="53" xfId="0" applyFont="1" applyBorder="1" applyAlignment="1">
      <alignment horizontal="center" vertical="top" wrapText="1"/>
    </xf>
    <xf numFmtId="0" fontId="0" fillId="0" borderId="57" xfId="0" applyBorder="1" applyAlignment="1">
      <alignment horizontal="center" vertical="center"/>
    </xf>
    <xf numFmtId="0" fontId="0" fillId="0" borderId="45" xfId="0" applyBorder="1" applyAlignment="1">
      <alignment horizontal="center" vertical="center"/>
    </xf>
    <xf numFmtId="0" fontId="0" fillId="0" borderId="48" xfId="0" applyBorder="1" applyAlignment="1">
      <alignment horizontal="center" vertical="center"/>
    </xf>
    <xf numFmtId="0" fontId="0" fillId="0" borderId="43" xfId="0" applyBorder="1" applyAlignment="1">
      <alignment horizontal="center" vertical="center"/>
    </xf>
    <xf numFmtId="0" fontId="0" fillId="0" borderId="53" xfId="0" applyBorder="1" applyAlignment="1">
      <alignment horizontal="center" vertical="center"/>
    </xf>
    <xf numFmtId="0" fontId="0" fillId="17" borderId="46" xfId="0" applyFill="1" applyBorder="1" applyAlignment="1">
      <alignment horizontal="center" vertical="center"/>
    </xf>
    <xf numFmtId="0" fontId="0" fillId="17" borderId="47" xfId="0" applyFill="1" applyBorder="1" applyAlignment="1">
      <alignment horizontal="center" vertical="center"/>
    </xf>
    <xf numFmtId="0" fontId="0" fillId="17" borderId="52" xfId="0" applyFill="1" applyBorder="1" applyAlignment="1">
      <alignment horizontal="center" vertical="center"/>
    </xf>
    <xf numFmtId="0" fontId="0" fillId="17" borderId="59" xfId="0" applyFill="1" applyBorder="1" applyAlignment="1">
      <alignment horizontal="center" vertical="center"/>
    </xf>
    <xf numFmtId="0" fontId="0" fillId="17" borderId="0" xfId="0" applyFill="1" applyBorder="1" applyAlignment="1">
      <alignment horizontal="center" vertical="center"/>
    </xf>
    <xf numFmtId="0" fontId="0" fillId="17" borderId="60" xfId="0" applyFill="1" applyBorder="1" applyAlignment="1">
      <alignment horizontal="center" vertical="center"/>
    </xf>
    <xf numFmtId="0" fontId="0" fillId="17" borderId="48" xfId="0" applyFill="1" applyBorder="1" applyAlignment="1">
      <alignment horizontal="center" vertical="center"/>
    </xf>
    <xf numFmtId="0" fontId="0" fillId="17" borderId="43" xfId="0" applyFill="1" applyBorder="1" applyAlignment="1">
      <alignment horizontal="center" vertical="center"/>
    </xf>
    <xf numFmtId="0" fontId="0" fillId="17" borderId="53" xfId="0" applyFill="1" applyBorder="1" applyAlignment="1">
      <alignment horizontal="center" vertical="center"/>
    </xf>
    <xf numFmtId="0" fontId="0" fillId="13" borderId="49" xfId="0" applyFill="1" applyBorder="1" applyAlignment="1">
      <alignment horizontal="center" vertical="center"/>
    </xf>
    <xf numFmtId="0" fontId="0" fillId="13" borderId="50" xfId="0" applyFill="1" applyBorder="1" applyAlignment="1">
      <alignment horizontal="center" vertical="center"/>
    </xf>
    <xf numFmtId="0" fontId="0" fillId="13" borderId="51" xfId="0" applyFill="1" applyBorder="1" applyAlignment="1">
      <alignment horizontal="center" vertical="center"/>
    </xf>
    <xf numFmtId="0" fontId="19" fillId="12" borderId="42" xfId="0" applyFont="1" applyFill="1" applyBorder="1" applyAlignment="1">
      <alignment horizontal="center" vertical="center" wrapText="1"/>
    </xf>
    <xf numFmtId="0" fontId="0" fillId="12" borderId="54" xfId="0" applyFill="1" applyBorder="1" applyAlignment="1">
      <alignment horizontal="center" vertical="center"/>
    </xf>
    <xf numFmtId="0" fontId="0" fillId="12" borderId="55" xfId="0" applyFill="1" applyBorder="1" applyAlignment="1">
      <alignment horizontal="center" vertical="center"/>
    </xf>
    <xf numFmtId="0" fontId="0" fillId="12" borderId="56" xfId="0" applyFill="1" applyBorder="1" applyAlignment="1">
      <alignment horizontal="center" vertical="center"/>
    </xf>
    <xf numFmtId="0" fontId="23" fillId="0" borderId="42" xfId="0" applyFont="1" applyBorder="1" applyAlignment="1">
      <alignment horizontal="center" vertical="center"/>
    </xf>
    <xf numFmtId="0" fontId="0" fillId="14" borderId="42" xfId="0" applyFill="1" applyBorder="1" applyAlignment="1">
      <alignment horizontal="center" vertical="center"/>
    </xf>
    <xf numFmtId="0" fontId="0" fillId="12" borderId="45" xfId="0" applyFill="1" applyBorder="1" applyAlignment="1">
      <alignment horizontal="center" vertical="center"/>
    </xf>
    <xf numFmtId="0" fontId="23" fillId="0" borderId="49" xfId="0" applyFont="1" applyBorder="1" applyAlignment="1">
      <alignment horizontal="center" vertical="center"/>
    </xf>
    <xf numFmtId="0" fontId="23" fillId="0" borderId="50" xfId="0" applyFont="1" applyBorder="1" applyAlignment="1">
      <alignment horizontal="center" vertical="center"/>
    </xf>
    <xf numFmtId="0" fontId="23" fillId="0" borderId="51" xfId="0" applyFont="1" applyBorder="1" applyAlignment="1">
      <alignment horizontal="center" vertical="center"/>
    </xf>
    <xf numFmtId="0" fontId="0" fillId="0" borderId="49" xfId="0" applyBorder="1" applyAlignment="1">
      <alignment horizontal="center" vertical="center" wrapText="1"/>
    </xf>
    <xf numFmtId="0" fontId="22" fillId="0" borderId="42" xfId="0" applyFont="1" applyBorder="1" applyAlignment="1">
      <alignment horizontal="center" vertical="center" wrapText="1"/>
    </xf>
    <xf numFmtId="0" fontId="22" fillId="0" borderId="42" xfId="0" applyFont="1" applyBorder="1" applyAlignment="1">
      <alignment horizontal="center" vertical="center"/>
    </xf>
    <xf numFmtId="0" fontId="13" fillId="0" borderId="42" xfId="0" applyFont="1" applyBorder="1" applyAlignment="1">
      <alignment horizontal="center" vertical="center"/>
    </xf>
    <xf numFmtId="0" fontId="14" fillId="0" borderId="42" xfId="0" applyFont="1" applyBorder="1" applyAlignment="1">
      <alignment horizontal="center" vertical="center"/>
    </xf>
    <xf numFmtId="0" fontId="13" fillId="0" borderId="42" xfId="0" applyFont="1"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0" borderId="0" xfId="0" applyBorder="1" applyAlignment="1">
      <alignment horizontal="center" vertical="center" wrapText="1"/>
    </xf>
    <xf numFmtId="0" fontId="0" fillId="0" borderId="60" xfId="0"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0" fillId="0" borderId="53" xfId="0" applyBorder="1" applyAlignment="1">
      <alignment horizontal="center" vertical="center" wrapText="1"/>
    </xf>
    <xf numFmtId="0" fontId="0" fillId="0" borderId="42" xfId="0" applyBorder="1" applyAlignment="1">
      <alignment horizontal="center" vertical="top" wrapText="1"/>
    </xf>
    <xf numFmtId="0" fontId="24" fillId="0" borderId="42" xfId="0" applyFont="1" applyBorder="1" applyAlignment="1">
      <alignment horizontal="center" vertical="center"/>
    </xf>
    <xf numFmtId="0" fontId="21" fillId="0" borderId="57" xfId="0" applyFont="1" applyBorder="1" applyAlignment="1">
      <alignment horizontal="center" vertical="center" wrapText="1"/>
    </xf>
    <xf numFmtId="0" fontId="21" fillId="0" borderId="57" xfId="0" applyFont="1" applyBorder="1" applyAlignment="1">
      <alignment horizontal="center" vertical="center"/>
    </xf>
    <xf numFmtId="0" fontId="0" fillId="0" borderId="58" xfId="0" applyFont="1" applyBorder="1" applyAlignment="1">
      <alignment horizontal="center" vertical="center" wrapText="1"/>
    </xf>
    <xf numFmtId="0" fontId="0" fillId="0" borderId="58" xfId="0" applyFont="1" applyBorder="1" applyAlignment="1">
      <alignment horizontal="center" vertical="center"/>
    </xf>
    <xf numFmtId="0" fontId="0" fillId="0" borderId="57" xfId="0" applyFont="1" applyBorder="1" applyAlignment="1">
      <alignment horizontal="center" vertical="center" wrapText="1"/>
    </xf>
    <xf numFmtId="0" fontId="0" fillId="0" borderId="57" xfId="0" applyFont="1" applyBorder="1" applyAlignment="1">
      <alignment horizontal="center" vertical="center"/>
    </xf>
    <xf numFmtId="0" fontId="0" fillId="0" borderId="42" xfId="0" applyFont="1" applyBorder="1" applyAlignment="1">
      <alignment horizontal="center" vertical="center" wrapText="1"/>
    </xf>
    <xf numFmtId="0" fontId="0" fillId="0" borderId="42" xfId="0" applyFont="1" applyBorder="1" applyAlignment="1">
      <alignment horizontal="center" vertical="center"/>
    </xf>
    <xf numFmtId="0" fontId="21" fillId="0" borderId="45" xfId="0" applyFont="1" applyBorder="1" applyAlignment="1">
      <alignment horizontal="center" vertical="center" wrapText="1"/>
    </xf>
    <xf numFmtId="0" fontId="21" fillId="0" borderId="45" xfId="0" applyFont="1" applyBorder="1" applyAlignment="1">
      <alignment horizontal="center" vertical="center"/>
    </xf>
    <xf numFmtId="0" fontId="0" fillId="0" borderId="45" xfId="0" applyFont="1" applyBorder="1" applyAlignment="1">
      <alignment horizontal="center" vertical="center" wrapText="1"/>
    </xf>
    <xf numFmtId="0" fontId="0" fillId="0" borderId="45" xfId="0" applyFont="1" applyBorder="1" applyAlignment="1">
      <alignment horizontal="center" vertical="center"/>
    </xf>
    <xf numFmtId="0" fontId="21" fillId="0" borderId="58" xfId="0" applyFont="1" applyBorder="1" applyAlignment="1">
      <alignment horizontal="center" vertical="center" wrapText="1"/>
    </xf>
    <xf numFmtId="0" fontId="21" fillId="0" borderId="58" xfId="0" applyFont="1" applyBorder="1" applyAlignment="1">
      <alignment horizontal="center" vertical="center"/>
    </xf>
    <xf numFmtId="0" fontId="0" fillId="0" borderId="57" xfId="0" applyBorder="1" applyAlignment="1">
      <alignment horizontal="left" vertical="center"/>
    </xf>
    <xf numFmtId="0" fontId="27" fillId="0" borderId="49" xfId="0" applyFont="1" applyBorder="1" applyAlignment="1">
      <alignment horizontal="center" vertical="center" wrapText="1"/>
    </xf>
    <xf numFmtId="0" fontId="27" fillId="0" borderId="50" xfId="0" applyFont="1" applyBorder="1" applyAlignment="1">
      <alignment horizontal="center" vertical="center"/>
    </xf>
    <xf numFmtId="0" fontId="27" fillId="0" borderId="51" xfId="0" applyFont="1" applyBorder="1" applyAlignment="1">
      <alignment horizontal="center" vertical="center"/>
    </xf>
    <xf numFmtId="0" fontId="23" fillId="0" borderId="57" xfId="0" applyFont="1" applyBorder="1" applyAlignment="1">
      <alignment horizontal="center" vertical="center"/>
    </xf>
    <xf numFmtId="0" fontId="14" fillId="14" borderId="42" xfId="0" applyFont="1" applyFill="1" applyBorder="1" applyAlignment="1">
      <alignment horizontal="center" vertical="center"/>
    </xf>
    <xf numFmtId="0" fontId="28" fillId="0" borderId="49" xfId="0" applyFont="1" applyBorder="1" applyAlignment="1">
      <alignment horizontal="center" vertical="center" wrapText="1"/>
    </xf>
    <xf numFmtId="0" fontId="28" fillId="0" borderId="50" xfId="0" applyFont="1" applyBorder="1" applyAlignment="1">
      <alignment horizontal="center" vertical="center"/>
    </xf>
    <xf numFmtId="0" fontId="28" fillId="0" borderId="51" xfId="0" applyFont="1" applyBorder="1" applyAlignment="1">
      <alignment horizontal="center" vertical="center"/>
    </xf>
    <xf numFmtId="0" fontId="28" fillId="14" borderId="49" xfId="0" applyFont="1" applyFill="1" applyBorder="1" applyAlignment="1">
      <alignment horizontal="center" vertical="center" wrapText="1"/>
    </xf>
    <xf numFmtId="0" fontId="28" fillId="14" borderId="50" xfId="0" applyFont="1" applyFill="1" applyBorder="1" applyAlignment="1">
      <alignment horizontal="center" vertical="center"/>
    </xf>
    <xf numFmtId="0" fontId="28" fillId="14" borderId="51" xfId="0" applyFont="1" applyFill="1" applyBorder="1" applyAlignment="1">
      <alignment horizontal="center" vertical="center"/>
    </xf>
    <xf numFmtId="0" fontId="0" fillId="16" borderId="62" xfId="0" applyFill="1" applyBorder="1" applyAlignment="1">
      <alignment horizontal="center" vertical="center"/>
    </xf>
    <xf numFmtId="0" fontId="0" fillId="16" borderId="63" xfId="0" applyFill="1" applyBorder="1" applyAlignment="1">
      <alignment horizontal="center" vertical="center"/>
    </xf>
    <xf numFmtId="0" fontId="0" fillId="16" borderId="64" xfId="0" applyFill="1" applyBorder="1" applyAlignment="1">
      <alignment horizontal="center" vertical="center"/>
    </xf>
    <xf numFmtId="0" fontId="0" fillId="16" borderId="54" xfId="0" applyFill="1" applyBorder="1" applyAlignment="1">
      <alignment horizontal="center" vertical="center"/>
    </xf>
    <xf numFmtId="0" fontId="0" fillId="16" borderId="55" xfId="0" applyFill="1" applyBorder="1" applyAlignment="1">
      <alignment horizontal="center" vertical="center"/>
    </xf>
    <xf numFmtId="0" fontId="0" fillId="16" borderId="56" xfId="0" applyFill="1" applyBorder="1" applyAlignment="1">
      <alignment horizontal="center" vertical="center"/>
    </xf>
    <xf numFmtId="0" fontId="19" fillId="19" borderId="42" xfId="0" applyFont="1" applyFill="1" applyBorder="1" applyAlignment="1">
      <alignment horizontal="center" vertical="center" wrapText="1"/>
    </xf>
    <xf numFmtId="0" fontId="19" fillId="19" borderId="42" xfId="0" applyFont="1" applyFill="1" applyBorder="1" applyAlignment="1">
      <alignment horizontal="center" vertical="center"/>
    </xf>
    <xf numFmtId="0" fontId="29" fillId="0" borderId="42" xfId="6" applyBorder="1" applyAlignment="1">
      <alignment horizontal="center" vertical="center"/>
    </xf>
    <xf numFmtId="0" fontId="29" fillId="0" borderId="49" xfId="6" applyBorder="1" applyAlignment="1">
      <alignment horizontal="center" vertical="center"/>
    </xf>
    <xf numFmtId="0" fontId="29" fillId="0" borderId="50" xfId="6" applyBorder="1" applyAlignment="1">
      <alignment horizontal="center" vertical="center"/>
    </xf>
    <xf numFmtId="0" fontId="29" fillId="0" borderId="51" xfId="6" applyBorder="1" applyAlignment="1">
      <alignment horizontal="center" vertical="center"/>
    </xf>
    <xf numFmtId="0" fontId="0" fillId="0" borderId="42" xfId="0" applyBorder="1" applyAlignment="1">
      <alignment horizontal="center" vertical="center" wrapText="1"/>
    </xf>
    <xf numFmtId="0" fontId="0" fillId="0" borderId="62" xfId="0" applyFont="1" applyBorder="1" applyAlignment="1">
      <alignment horizontal="center" vertical="center"/>
    </xf>
    <xf numFmtId="0" fontId="0" fillId="0" borderId="63" xfId="0" applyFont="1" applyBorder="1" applyAlignment="1">
      <alignment horizontal="center" vertical="center"/>
    </xf>
    <xf numFmtId="0" fontId="0" fillId="0" borderId="64" xfId="0" applyFont="1" applyBorder="1" applyAlignment="1">
      <alignment horizontal="center" vertical="center"/>
    </xf>
    <xf numFmtId="0" fontId="23" fillId="11" borderId="70" xfId="0" applyFont="1" applyFill="1" applyBorder="1" applyAlignment="1">
      <alignment horizontal="center" vertical="center"/>
    </xf>
    <xf numFmtId="0" fontId="23" fillId="11" borderId="71" xfId="0" applyFont="1" applyFill="1" applyBorder="1" applyAlignment="1">
      <alignment horizontal="center" vertical="center"/>
    </xf>
    <xf numFmtId="0" fontId="23" fillId="11" borderId="72" xfId="0" applyFont="1" applyFill="1" applyBorder="1" applyAlignment="1">
      <alignment horizontal="center" vertical="center"/>
    </xf>
    <xf numFmtId="0" fontId="29" fillId="0" borderId="73" xfId="6" applyBorder="1" applyAlignment="1">
      <alignment horizontal="center" vertical="center"/>
    </xf>
    <xf numFmtId="0" fontId="0" fillId="0" borderId="73" xfId="0" applyBorder="1" applyAlignment="1">
      <alignment horizontal="center" vertical="center"/>
    </xf>
    <xf numFmtId="0" fontId="0" fillId="0" borderId="70" xfId="0" applyFont="1" applyBorder="1" applyAlignment="1">
      <alignment horizontal="center" vertical="center" wrapText="1"/>
    </xf>
    <xf numFmtId="0" fontId="0" fillId="0" borderId="71" xfId="0" applyFont="1" applyBorder="1" applyAlignment="1">
      <alignment horizontal="center" vertical="center" wrapText="1"/>
    </xf>
    <xf numFmtId="0" fontId="0" fillId="0" borderId="72" xfId="0" applyFont="1" applyBorder="1" applyAlignment="1">
      <alignment horizontal="center" vertical="center" wrapText="1"/>
    </xf>
    <xf numFmtId="0" fontId="0" fillId="14" borderId="48" xfId="0" applyFill="1" applyBorder="1" applyAlignment="1">
      <alignment horizontal="center" vertical="center"/>
    </xf>
    <xf numFmtId="0" fontId="0" fillId="14" borderId="43" xfId="0" applyFill="1" applyBorder="1" applyAlignment="1">
      <alignment horizontal="center" vertical="center"/>
    </xf>
    <xf numFmtId="0" fontId="0" fillId="14" borderId="53" xfId="0" applyFill="1" applyBorder="1" applyAlignment="1">
      <alignment horizontal="center" vertical="center"/>
    </xf>
    <xf numFmtId="0" fontId="0" fillId="14" borderId="62" xfId="0" applyFill="1" applyBorder="1" applyAlignment="1">
      <alignment horizontal="center" vertical="center"/>
    </xf>
    <xf numFmtId="0" fontId="0" fillId="14" borderId="63" xfId="0" applyFill="1" applyBorder="1" applyAlignment="1">
      <alignment horizontal="center" vertical="center"/>
    </xf>
    <xf numFmtId="0" fontId="0" fillId="14" borderId="64" xfId="0" applyFill="1" applyBorder="1" applyAlignment="1">
      <alignment horizontal="center" vertical="center"/>
    </xf>
    <xf numFmtId="0" fontId="0" fillId="14" borderId="54" xfId="0" applyFill="1" applyBorder="1" applyAlignment="1">
      <alignment horizontal="center" vertical="center"/>
    </xf>
    <xf numFmtId="0" fontId="0" fillId="14" borderId="55" xfId="0" applyFill="1" applyBorder="1" applyAlignment="1">
      <alignment horizontal="center" vertical="center"/>
    </xf>
    <xf numFmtId="0" fontId="0" fillId="14" borderId="56" xfId="0" applyFill="1" applyBorder="1" applyAlignment="1">
      <alignment horizontal="center" vertical="center"/>
    </xf>
    <xf numFmtId="0" fontId="0" fillId="14" borderId="70" xfId="0" applyFill="1" applyBorder="1" applyAlignment="1">
      <alignment horizontal="center" vertical="center"/>
    </xf>
    <xf numFmtId="0" fontId="0" fillId="14" borderId="71" xfId="0" applyFill="1" applyBorder="1" applyAlignment="1">
      <alignment horizontal="center" vertical="center"/>
    </xf>
    <xf numFmtId="0" fontId="0" fillId="14" borderId="72" xfId="0" applyFill="1" applyBorder="1" applyAlignment="1">
      <alignment horizontal="center" vertical="center"/>
    </xf>
    <xf numFmtId="0" fontId="0" fillId="17" borderId="46" xfId="0" applyFill="1" applyBorder="1" applyAlignment="1">
      <alignment horizontal="center" vertical="center" wrapText="1"/>
    </xf>
    <xf numFmtId="0" fontId="0" fillId="17" borderId="47" xfId="0" applyFill="1" applyBorder="1" applyAlignment="1">
      <alignment horizontal="center" vertical="center" wrapText="1"/>
    </xf>
    <xf numFmtId="0" fontId="0" fillId="17" borderId="52" xfId="0" applyFill="1" applyBorder="1" applyAlignment="1">
      <alignment horizontal="center" vertical="center" wrapText="1"/>
    </xf>
    <xf numFmtId="0" fontId="0" fillId="17" borderId="59" xfId="0" applyFill="1" applyBorder="1" applyAlignment="1">
      <alignment horizontal="center" vertical="center" wrapText="1"/>
    </xf>
    <xf numFmtId="0" fontId="0" fillId="17" borderId="0" xfId="0" applyFill="1" applyBorder="1" applyAlignment="1">
      <alignment horizontal="center" vertical="center" wrapText="1"/>
    </xf>
    <xf numFmtId="0" fontId="0" fillId="17" borderId="60" xfId="0" applyFill="1" applyBorder="1" applyAlignment="1">
      <alignment horizontal="center" vertical="center" wrapText="1"/>
    </xf>
    <xf numFmtId="0" fontId="0" fillId="17" borderId="48" xfId="0" applyFill="1" applyBorder="1" applyAlignment="1">
      <alignment horizontal="center" vertical="center" wrapText="1"/>
    </xf>
    <xf numFmtId="0" fontId="0" fillId="17" borderId="43" xfId="0" applyFill="1" applyBorder="1" applyAlignment="1">
      <alignment horizontal="center" vertical="center" wrapText="1"/>
    </xf>
    <xf numFmtId="0" fontId="0" fillId="17" borderId="53" xfId="0" applyFill="1" applyBorder="1" applyAlignment="1">
      <alignment horizontal="center" vertical="center" wrapText="1"/>
    </xf>
    <xf numFmtId="0" fontId="0" fillId="0" borderId="54"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56" xfId="0" applyFont="1" applyBorder="1" applyAlignment="1">
      <alignment horizontal="center" vertical="center" wrapText="1"/>
    </xf>
    <xf numFmtId="0" fontId="0" fillId="0" borderId="54" xfId="0" applyFont="1" applyBorder="1" applyAlignment="1">
      <alignment horizontal="center" vertical="center"/>
    </xf>
    <xf numFmtId="0" fontId="0" fillId="0" borderId="55" xfId="0" applyFont="1" applyBorder="1" applyAlignment="1">
      <alignment horizontal="center" vertical="center"/>
    </xf>
    <xf numFmtId="0" fontId="0" fillId="0" borderId="56" xfId="0" applyFont="1" applyBorder="1" applyAlignment="1">
      <alignment horizontal="center" vertical="center"/>
    </xf>
    <xf numFmtId="0" fontId="23" fillId="11" borderId="54" xfId="0" applyFont="1" applyFill="1" applyBorder="1" applyAlignment="1">
      <alignment horizontal="center" vertical="center"/>
    </xf>
    <xf numFmtId="0" fontId="23" fillId="11" borderId="55" xfId="0" applyFont="1" applyFill="1" applyBorder="1" applyAlignment="1">
      <alignment horizontal="center" vertical="center"/>
    </xf>
    <xf numFmtId="0" fontId="23" fillId="11" borderId="56" xfId="0" applyFont="1" applyFill="1" applyBorder="1" applyAlignment="1">
      <alignment horizontal="center" vertical="center"/>
    </xf>
    <xf numFmtId="0" fontId="23" fillId="11" borderId="65"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6" xfId="0" applyFont="1" applyFill="1" applyBorder="1" applyAlignment="1">
      <alignment horizontal="center" vertical="center"/>
    </xf>
    <xf numFmtId="0" fontId="23" fillId="11" borderId="59" xfId="0" applyFont="1" applyFill="1" applyBorder="1" applyAlignment="1">
      <alignment horizontal="center" vertical="center"/>
    </xf>
    <xf numFmtId="0" fontId="23" fillId="11" borderId="0" xfId="0" applyFont="1" applyFill="1" applyBorder="1" applyAlignment="1">
      <alignment horizontal="center" vertical="center"/>
    </xf>
    <xf numFmtId="0" fontId="23" fillId="11" borderId="60" xfId="0" applyFont="1" applyFill="1" applyBorder="1" applyAlignment="1">
      <alignment horizontal="center" vertical="center"/>
    </xf>
    <xf numFmtId="0" fontId="29" fillId="0" borderId="44" xfId="6" applyBorder="1" applyAlignment="1">
      <alignment horizontal="center" vertical="center"/>
    </xf>
    <xf numFmtId="0" fontId="0" fillId="0" borderId="44" xfId="0" applyBorder="1" applyAlignment="1">
      <alignment horizontal="center" vertical="center"/>
    </xf>
    <xf numFmtId="0" fontId="0" fillId="0" borderId="70" xfId="0" applyFont="1" applyBorder="1" applyAlignment="1">
      <alignment horizontal="center" vertical="center"/>
    </xf>
    <xf numFmtId="0" fontId="0" fillId="0" borderId="71" xfId="0" applyFont="1" applyBorder="1" applyAlignment="1">
      <alignment horizontal="center" vertical="center"/>
    </xf>
    <xf numFmtId="0" fontId="0" fillId="0" borderId="72" xfId="0" applyFont="1" applyBorder="1" applyAlignment="1">
      <alignment horizontal="center" vertical="center"/>
    </xf>
    <xf numFmtId="0" fontId="29" fillId="0" borderId="58" xfId="6" applyBorder="1" applyAlignment="1">
      <alignment horizontal="center" vertical="center"/>
    </xf>
    <xf numFmtId="0" fontId="0" fillId="0" borderId="59" xfId="0" applyFont="1" applyBorder="1" applyAlignment="1">
      <alignment horizontal="center" vertical="center" wrapText="1"/>
    </xf>
    <xf numFmtId="0" fontId="0" fillId="0" borderId="0" xfId="0" applyFont="1" applyBorder="1" applyAlignment="1">
      <alignment horizontal="center" vertical="center" wrapText="1"/>
    </xf>
    <xf numFmtId="0" fontId="0" fillId="0" borderId="60" xfId="0" applyFont="1" applyBorder="1" applyAlignment="1">
      <alignment horizontal="center" vertical="center" wrapText="1"/>
    </xf>
    <xf numFmtId="0" fontId="0" fillId="0" borderId="62" xfId="0" applyFont="1" applyBorder="1" applyAlignment="1">
      <alignment horizontal="center" vertical="center" wrapText="1"/>
    </xf>
    <xf numFmtId="0" fontId="0" fillId="0" borderId="63" xfId="0" applyFont="1" applyBorder="1" applyAlignment="1">
      <alignment horizontal="center" vertical="center" wrapText="1"/>
    </xf>
    <xf numFmtId="0" fontId="0" fillId="0" borderId="64" xfId="0" applyFont="1" applyBorder="1" applyAlignment="1">
      <alignment horizontal="center" vertical="center" wrapText="1"/>
    </xf>
    <xf numFmtId="0" fontId="21" fillId="0" borderId="70" xfId="0" applyFont="1" applyBorder="1" applyAlignment="1">
      <alignment horizontal="center" vertical="center" wrapText="1"/>
    </xf>
    <xf numFmtId="0" fontId="21" fillId="0" borderId="71" xfId="0" applyFont="1" applyBorder="1" applyAlignment="1">
      <alignment horizontal="center" vertical="center" wrapText="1"/>
    </xf>
    <xf numFmtId="0" fontId="21" fillId="0" borderId="72" xfId="0" applyFont="1" applyBorder="1" applyAlignment="1">
      <alignment horizontal="center" vertical="center" wrapText="1"/>
    </xf>
    <xf numFmtId="0" fontId="0" fillId="20" borderId="70" xfId="0" applyFont="1" applyFill="1" applyBorder="1" applyAlignment="1">
      <alignment horizontal="center" vertical="center" wrapText="1"/>
    </xf>
    <xf numFmtId="0" fontId="0" fillId="20" borderId="71" xfId="0" applyFont="1" applyFill="1" applyBorder="1" applyAlignment="1">
      <alignment horizontal="center" vertical="center" wrapText="1"/>
    </xf>
    <xf numFmtId="0" fontId="0" fillId="20" borderId="72" xfId="0" applyFont="1" applyFill="1" applyBorder="1" applyAlignment="1">
      <alignment horizontal="center" vertical="center" wrapText="1"/>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21" fillId="0" borderId="48" xfId="0" applyFont="1" applyBorder="1" applyAlignment="1">
      <alignment horizontal="center" vertical="center" wrapText="1"/>
    </xf>
    <xf numFmtId="0" fontId="21" fillId="0" borderId="43" xfId="0" applyFont="1" applyBorder="1" applyAlignment="1">
      <alignment horizontal="center" vertical="center" wrapText="1"/>
    </xf>
    <xf numFmtId="0" fontId="21" fillId="0" borderId="53" xfId="0" applyFont="1" applyBorder="1" applyAlignment="1">
      <alignment horizontal="center" vertical="center" wrapText="1"/>
    </xf>
    <xf numFmtId="0" fontId="0" fillId="20" borderId="48" xfId="0" applyFont="1" applyFill="1" applyBorder="1" applyAlignment="1">
      <alignment horizontal="center" vertical="center" wrapText="1"/>
    </xf>
    <xf numFmtId="0" fontId="0" fillId="20" borderId="43" xfId="0" applyFont="1" applyFill="1" applyBorder="1" applyAlignment="1">
      <alignment horizontal="center" vertical="center" wrapText="1"/>
    </xf>
    <xf numFmtId="0" fontId="0" fillId="20" borderId="53" xfId="0" applyFont="1" applyFill="1" applyBorder="1" applyAlignment="1">
      <alignment horizontal="center" vertical="center" wrapText="1"/>
    </xf>
    <xf numFmtId="0" fontId="21" fillId="0" borderId="54" xfId="0" applyFont="1" applyBorder="1" applyAlignment="1">
      <alignment horizontal="center" vertical="center" wrapText="1"/>
    </xf>
    <xf numFmtId="0" fontId="21" fillId="0" borderId="55" xfId="0" applyFont="1" applyBorder="1" applyAlignment="1">
      <alignment horizontal="center" vertical="center" wrapText="1"/>
    </xf>
    <xf numFmtId="0" fontId="21" fillId="0" borderId="56" xfId="0" applyFont="1" applyBorder="1" applyAlignment="1">
      <alignment horizontal="center" vertical="center" wrapText="1"/>
    </xf>
    <xf numFmtId="0" fontId="0" fillId="20" borderId="54" xfId="0" applyFont="1" applyFill="1" applyBorder="1" applyAlignment="1">
      <alignment horizontal="center" vertical="center" wrapText="1"/>
    </xf>
    <xf numFmtId="0" fontId="0" fillId="20" borderId="55" xfId="0" applyFont="1" applyFill="1" applyBorder="1" applyAlignment="1">
      <alignment horizontal="center" vertical="center" wrapText="1"/>
    </xf>
    <xf numFmtId="0" fontId="0" fillId="20" borderId="56" xfId="0" applyFont="1" applyFill="1" applyBorder="1" applyAlignment="1">
      <alignment horizontal="center" vertical="center" wrapText="1"/>
    </xf>
    <xf numFmtId="0" fontId="0" fillId="0" borderId="48" xfId="0" applyFont="1" applyBorder="1" applyAlignment="1">
      <alignment horizontal="center" vertical="center"/>
    </xf>
    <xf numFmtId="0" fontId="0" fillId="0" borderId="43" xfId="0" applyFont="1" applyBorder="1" applyAlignment="1">
      <alignment horizontal="center" vertical="center"/>
    </xf>
    <xf numFmtId="0" fontId="0" fillId="0" borderId="53" xfId="0" applyFont="1" applyBorder="1" applyAlignment="1">
      <alignment horizontal="center" vertical="center"/>
    </xf>
    <xf numFmtId="0" fontId="0" fillId="0" borderId="48" xfId="0" applyFont="1" applyBorder="1" applyAlignment="1">
      <alignment horizontal="center" vertical="center" wrapText="1"/>
    </xf>
    <xf numFmtId="0" fontId="0" fillId="0" borderId="43"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21" fillId="0" borderId="49" xfId="0" applyFont="1" applyBorder="1" applyAlignment="1">
      <alignment horizontal="center" vertical="center" wrapText="1"/>
    </xf>
    <xf numFmtId="0" fontId="21" fillId="0" borderId="50" xfId="0" applyFont="1" applyBorder="1" applyAlignment="1">
      <alignment horizontal="center" vertical="center" wrapText="1"/>
    </xf>
    <xf numFmtId="0" fontId="21" fillId="0" borderId="51" xfId="0" applyFont="1" applyBorder="1" applyAlignment="1">
      <alignment horizontal="center" vertical="center" wrapText="1"/>
    </xf>
    <xf numFmtId="0" fontId="0" fillId="20" borderId="49" xfId="0" applyFont="1" applyFill="1" applyBorder="1" applyAlignment="1">
      <alignment horizontal="center" vertical="center" wrapText="1"/>
    </xf>
    <xf numFmtId="0" fontId="0" fillId="20" borderId="50" xfId="0" applyFont="1" applyFill="1" applyBorder="1" applyAlignment="1">
      <alignment horizontal="center" vertical="center" wrapText="1"/>
    </xf>
    <xf numFmtId="0" fontId="0" fillId="20" borderId="51" xfId="0" applyFont="1" applyFill="1" applyBorder="1" applyAlignment="1">
      <alignment horizontal="center" vertical="center" wrapText="1"/>
    </xf>
    <xf numFmtId="0" fontId="0" fillId="0" borderId="59" xfId="0" applyFont="1" applyBorder="1" applyAlignment="1">
      <alignment horizontal="center" vertical="center"/>
    </xf>
    <xf numFmtId="0" fontId="0" fillId="0" borderId="0" xfId="0" applyFont="1" applyBorder="1" applyAlignment="1">
      <alignment horizontal="center" vertical="center"/>
    </xf>
    <xf numFmtId="0" fontId="0" fillId="0" borderId="60" xfId="0" applyFont="1" applyBorder="1" applyAlignment="1">
      <alignment horizontal="center" vertical="center"/>
    </xf>
    <xf numFmtId="0" fontId="29" fillId="0" borderId="70" xfId="6" applyBorder="1" applyAlignment="1">
      <alignment horizontal="center" vertical="center"/>
    </xf>
    <xf numFmtId="0" fontId="0" fillId="5" borderId="49" xfId="0" applyFill="1" applyBorder="1" applyAlignment="1">
      <alignment horizontal="center" vertical="center"/>
    </xf>
    <xf numFmtId="0" fontId="0" fillId="5" borderId="50" xfId="0" applyFill="1" applyBorder="1" applyAlignment="1">
      <alignment horizontal="center" vertical="center"/>
    </xf>
    <xf numFmtId="0" fontId="0" fillId="5" borderId="51" xfId="0" applyFill="1" applyBorder="1" applyAlignment="1">
      <alignment horizontal="center" vertical="center"/>
    </xf>
    <xf numFmtId="0" fontId="21" fillId="0" borderId="62"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64" xfId="0" applyFont="1" applyBorder="1" applyAlignment="1">
      <alignment horizontal="center" vertical="center" wrapText="1"/>
    </xf>
    <xf numFmtId="0" fontId="0" fillId="0" borderId="74" xfId="0" applyBorder="1" applyAlignment="1">
      <alignment horizontal="center" vertical="center"/>
    </xf>
    <xf numFmtId="0" fontId="0" fillId="20" borderId="62" xfId="0" applyFont="1" applyFill="1" applyBorder="1" applyAlignment="1">
      <alignment horizontal="center" vertical="center" wrapText="1"/>
    </xf>
    <xf numFmtId="0" fontId="0" fillId="20" borderId="63" xfId="0" applyFont="1" applyFill="1" applyBorder="1" applyAlignment="1">
      <alignment horizontal="center" vertical="center" wrapText="1"/>
    </xf>
    <xf numFmtId="0" fontId="0" fillId="20" borderId="64" xfId="0" applyFont="1" applyFill="1" applyBorder="1" applyAlignment="1">
      <alignment horizontal="center" vertical="center" wrapText="1"/>
    </xf>
    <xf numFmtId="0" fontId="29" fillId="0" borderId="48" xfId="6" applyBorder="1" applyAlignment="1">
      <alignment horizontal="center" vertical="center"/>
    </xf>
    <xf numFmtId="0" fontId="0" fillId="0" borderId="70" xfId="0" applyFill="1" applyBorder="1" applyAlignment="1">
      <alignment horizontal="center" vertical="center"/>
    </xf>
    <xf numFmtId="0" fontId="0" fillId="0" borderId="71" xfId="0" applyFill="1" applyBorder="1" applyAlignment="1">
      <alignment horizontal="center" vertical="center"/>
    </xf>
    <xf numFmtId="0" fontId="0" fillId="0" borderId="72" xfId="0" applyFill="1" applyBorder="1" applyAlignment="1">
      <alignment horizontal="center" vertical="center"/>
    </xf>
    <xf numFmtId="0" fontId="0" fillId="0" borderId="65" xfId="0" applyBorder="1" applyAlignment="1">
      <alignment horizontal="center" vertical="center"/>
    </xf>
    <xf numFmtId="0" fontId="0" fillId="0" borderId="61" xfId="0" applyBorder="1" applyAlignment="1">
      <alignment horizontal="center" vertical="center"/>
    </xf>
    <xf numFmtId="0" fontId="0" fillId="0" borderId="66" xfId="0" applyBorder="1" applyAlignment="1">
      <alignment horizontal="center" vertical="center"/>
    </xf>
    <xf numFmtId="0" fontId="21" fillId="0" borderId="59"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60" xfId="0" applyFont="1" applyBorder="1" applyAlignment="1">
      <alignment horizontal="center" vertical="center" wrapText="1"/>
    </xf>
    <xf numFmtId="0" fontId="29" fillId="0" borderId="59" xfId="6" applyBorder="1" applyAlignment="1">
      <alignment horizontal="center" vertical="center"/>
    </xf>
    <xf numFmtId="0" fontId="0" fillId="20" borderId="59" xfId="0" applyFont="1" applyFill="1" applyBorder="1" applyAlignment="1">
      <alignment horizontal="center" vertical="center" wrapText="1"/>
    </xf>
    <xf numFmtId="0" fontId="0" fillId="20" borderId="0" xfId="0" applyFont="1" applyFill="1" applyBorder="1" applyAlignment="1">
      <alignment horizontal="center" vertical="center" wrapText="1"/>
    </xf>
    <xf numFmtId="0" fontId="0" fillId="20" borderId="60" xfId="0" applyFont="1" applyFill="1" applyBorder="1" applyAlignment="1">
      <alignment horizontal="center" vertical="center" wrapText="1"/>
    </xf>
    <xf numFmtId="0" fontId="0" fillId="0" borderId="75" xfId="0" applyBorder="1" applyAlignment="1">
      <alignment horizontal="center" vertical="center"/>
    </xf>
    <xf numFmtId="0" fontId="0" fillId="15" borderId="49" xfId="0" applyFill="1" applyBorder="1" applyAlignment="1">
      <alignment horizontal="left" vertical="center"/>
    </xf>
    <xf numFmtId="0" fontId="0" fillId="15" borderId="50" xfId="0" applyFill="1" applyBorder="1" applyAlignment="1">
      <alignment horizontal="left" vertical="center"/>
    </xf>
    <xf numFmtId="0" fontId="0" fillId="15" borderId="51" xfId="0" applyFill="1" applyBorder="1" applyAlignment="1">
      <alignment horizontal="left" vertical="center"/>
    </xf>
    <xf numFmtId="0" fontId="13" fillId="0" borderId="42" xfId="0" applyFont="1" applyBorder="1" applyAlignment="1">
      <alignment horizontal="left" vertical="center"/>
    </xf>
    <xf numFmtId="0" fontId="23" fillId="11" borderId="49" xfId="0" applyFont="1" applyFill="1" applyBorder="1" applyAlignment="1">
      <alignment horizontal="center" vertical="center"/>
    </xf>
    <xf numFmtId="0" fontId="23" fillId="11" borderId="50" xfId="0" applyFont="1" applyFill="1" applyBorder="1" applyAlignment="1">
      <alignment horizontal="center" vertical="center"/>
    </xf>
    <xf numFmtId="0" fontId="23" fillId="11" borderId="51" xfId="0" applyFont="1" applyFill="1" applyBorder="1" applyAlignment="1">
      <alignment horizontal="center" vertical="center"/>
    </xf>
    <xf numFmtId="0" fontId="24" fillId="0" borderId="42" xfId="0" applyFont="1" applyBorder="1" applyAlignment="1">
      <alignment horizontal="left" vertical="center"/>
    </xf>
    <xf numFmtId="0" fontId="0" fillId="17" borderId="42" xfId="0" applyFill="1" applyBorder="1" applyAlignment="1">
      <alignment horizontal="center" vertical="center"/>
    </xf>
    <xf numFmtId="0" fontId="13" fillId="0" borderId="42" xfId="0" applyFont="1" applyBorder="1" applyAlignment="1">
      <alignment horizontal="left" vertical="center" wrapText="1"/>
    </xf>
    <xf numFmtId="0" fontId="0" fillId="0" borderId="49" xfId="0" applyFont="1" applyBorder="1" applyAlignment="1">
      <alignment horizontal="center" vertical="center" wrapText="1"/>
    </xf>
    <xf numFmtId="0" fontId="0" fillId="0" borderId="50" xfId="0" applyFont="1" applyBorder="1" applyAlignment="1">
      <alignment horizontal="center" vertical="center" wrapText="1"/>
    </xf>
    <xf numFmtId="0" fontId="0" fillId="16" borderId="46" xfId="0" applyFill="1" applyBorder="1" applyAlignment="1">
      <alignment horizontal="center" vertical="center"/>
    </xf>
    <xf numFmtId="0" fontId="0" fillId="16" borderId="47" xfId="0" applyFill="1" applyBorder="1" applyAlignment="1">
      <alignment horizontal="center" vertical="center"/>
    </xf>
    <xf numFmtId="0" fontId="0" fillId="16" borderId="52" xfId="0" applyFill="1" applyBorder="1" applyAlignment="1">
      <alignment horizontal="center" vertical="center"/>
    </xf>
    <xf numFmtId="0" fontId="0" fillId="16" borderId="48" xfId="0" applyFill="1" applyBorder="1" applyAlignment="1">
      <alignment horizontal="center" vertical="center"/>
    </xf>
    <xf numFmtId="0" fontId="0" fillId="16" borderId="43" xfId="0" applyFill="1" applyBorder="1" applyAlignment="1">
      <alignment horizontal="center" vertical="center"/>
    </xf>
    <xf numFmtId="0" fontId="0" fillId="16" borderId="53" xfId="0" applyFill="1" applyBorder="1" applyAlignment="1">
      <alignment horizontal="center" vertical="center"/>
    </xf>
    <xf numFmtId="0" fontId="0" fillId="0" borderId="51" xfId="0" applyFont="1" applyBorder="1" applyAlignment="1">
      <alignment horizontal="center" vertical="center" wrapText="1"/>
    </xf>
    <xf numFmtId="0" fontId="0" fillId="18" borderId="44" xfId="0" quotePrefix="1" applyFill="1" applyBorder="1" applyAlignment="1">
      <alignment horizontal="center" vertical="center"/>
    </xf>
    <xf numFmtId="0" fontId="0" fillId="18" borderId="65" xfId="0" applyFill="1" applyBorder="1" applyAlignment="1">
      <alignment horizontal="center" vertical="center"/>
    </xf>
    <xf numFmtId="0" fontId="0" fillId="18" borderId="61" xfId="0" applyFill="1" applyBorder="1" applyAlignment="1">
      <alignment horizontal="center" vertical="center"/>
    </xf>
    <xf numFmtId="0" fontId="0" fillId="18" borderId="66" xfId="0" applyFill="1" applyBorder="1" applyAlignment="1">
      <alignment horizontal="center" vertical="center"/>
    </xf>
    <xf numFmtId="0" fontId="0" fillId="18" borderId="59" xfId="0" applyFill="1" applyBorder="1" applyAlignment="1">
      <alignment horizontal="center" vertical="center"/>
    </xf>
    <xf numFmtId="0" fontId="0" fillId="18" borderId="0" xfId="0" applyFill="1" applyBorder="1" applyAlignment="1">
      <alignment horizontal="center" vertical="center"/>
    </xf>
    <xf numFmtId="0" fontId="0" fillId="18" borderId="60" xfId="0" applyFill="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15" fillId="21" borderId="42" xfId="0" applyFont="1" applyFill="1" applyBorder="1" applyAlignment="1">
      <alignment horizontal="center" vertical="center"/>
    </xf>
    <xf numFmtId="0" fontId="0" fillId="22" borderId="42" xfId="0" applyFill="1" applyBorder="1" applyAlignment="1">
      <alignment horizontal="center" vertical="center"/>
    </xf>
    <xf numFmtId="0" fontId="0" fillId="16" borderId="42" xfId="0" applyFill="1" applyBorder="1" applyAlignment="1">
      <alignment horizontal="center" vertical="center"/>
    </xf>
    <xf numFmtId="0" fontId="0" fillId="18" borderId="54" xfId="0" quotePrefix="1" applyFill="1" applyBorder="1" applyAlignment="1">
      <alignment horizontal="center" vertical="center"/>
    </xf>
    <xf numFmtId="0" fontId="0" fillId="18" borderId="44" xfId="0" applyFill="1" applyBorder="1" applyAlignment="1">
      <alignment horizontal="center" vertical="center"/>
    </xf>
    <xf numFmtId="0" fontId="24" fillId="11" borderId="42" xfId="0" applyFont="1" applyFill="1" applyBorder="1" applyAlignment="1">
      <alignment horizontal="center" vertical="center"/>
    </xf>
    <xf numFmtId="0" fontId="0" fillId="18" borderId="55" xfId="0" quotePrefix="1" applyFill="1" applyBorder="1" applyAlignment="1">
      <alignment horizontal="center" vertical="center"/>
    </xf>
    <xf numFmtId="0" fontId="0" fillId="18" borderId="56" xfId="0" quotePrefix="1" applyFill="1" applyBorder="1" applyAlignment="1">
      <alignment horizontal="center" vertical="center"/>
    </xf>
    <xf numFmtId="0" fontId="0" fillId="18" borderId="62" xfId="0" applyFill="1" applyBorder="1" applyAlignment="1">
      <alignment horizontal="center" vertical="center"/>
    </xf>
    <xf numFmtId="0" fontId="0" fillId="18" borderId="63" xfId="0" applyFill="1" applyBorder="1" applyAlignment="1">
      <alignment horizontal="center" vertical="center"/>
    </xf>
    <xf numFmtId="0" fontId="0" fillId="18" borderId="64" xfId="0" applyFill="1" applyBorder="1" applyAlignment="1">
      <alignment horizontal="center" vertical="center"/>
    </xf>
    <xf numFmtId="0" fontId="0" fillId="15" borderId="42" xfId="0" applyFill="1" applyBorder="1" applyAlignment="1">
      <alignment horizontal="center" vertical="center"/>
    </xf>
    <xf numFmtId="0" fontId="19" fillId="17" borderId="42" xfId="0" applyFont="1" applyFill="1" applyBorder="1" applyAlignment="1">
      <alignment horizontal="center" vertical="center" wrapText="1"/>
    </xf>
    <xf numFmtId="0" fontId="19" fillId="4" borderId="42" xfId="0" applyFont="1" applyFill="1" applyBorder="1" applyAlignment="1">
      <alignment horizontal="center" vertical="center" wrapText="1"/>
    </xf>
    <xf numFmtId="0" fontId="0" fillId="0" borderId="42" xfId="0" applyBorder="1" applyAlignment="1">
      <alignment horizontal="left" vertical="center"/>
    </xf>
    <xf numFmtId="0" fontId="22" fillId="19" borderId="49" xfId="0" applyFont="1" applyFill="1" applyBorder="1" applyAlignment="1">
      <alignment horizontal="center" vertical="center" wrapText="1"/>
    </xf>
    <xf numFmtId="0" fontId="22" fillId="19" borderId="50" xfId="0" applyFont="1" applyFill="1" applyBorder="1" applyAlignment="1">
      <alignment horizontal="center" vertical="center" wrapText="1"/>
    </xf>
    <xf numFmtId="0" fontId="22" fillId="19" borderId="51" xfId="0" applyFont="1" applyFill="1" applyBorder="1" applyAlignment="1">
      <alignment horizontal="center" vertical="center" wrapText="1"/>
    </xf>
    <xf numFmtId="0" fontId="23" fillId="11" borderId="49" xfId="0" applyFont="1" applyFill="1" applyBorder="1" applyAlignment="1">
      <alignment horizontal="center" vertical="center" wrapText="1"/>
    </xf>
    <xf numFmtId="0" fontId="23" fillId="11" borderId="50" xfId="0" applyFont="1" applyFill="1" applyBorder="1" applyAlignment="1">
      <alignment horizontal="center" vertical="center" wrapText="1"/>
    </xf>
    <xf numFmtId="0" fontId="23" fillId="11" borderId="51" xfId="0" applyFont="1" applyFill="1" applyBorder="1" applyAlignment="1">
      <alignment horizontal="center" vertical="center" wrapText="1"/>
    </xf>
    <xf numFmtId="0" fontId="22" fillId="19" borderId="70" xfId="0" applyFont="1" applyFill="1" applyBorder="1" applyAlignment="1">
      <alignment horizontal="center" vertical="center"/>
    </xf>
    <xf numFmtId="0" fontId="22" fillId="19" borderId="71" xfId="0" applyFont="1" applyFill="1" applyBorder="1" applyAlignment="1">
      <alignment horizontal="center" vertical="center"/>
    </xf>
    <xf numFmtId="0" fontId="22" fillId="19" borderId="72" xfId="0" applyFont="1" applyFill="1" applyBorder="1" applyAlignment="1">
      <alignment horizontal="center" vertical="center"/>
    </xf>
    <xf numFmtId="0" fontId="23" fillId="11" borderId="42" xfId="0" applyFont="1" applyFill="1" applyBorder="1" applyAlignment="1">
      <alignment horizontal="center" vertical="center"/>
    </xf>
    <xf numFmtId="0" fontId="13" fillId="19" borderId="42" xfId="0" applyFont="1" applyFill="1" applyBorder="1" applyAlignment="1">
      <alignment horizontal="center" vertical="center"/>
    </xf>
    <xf numFmtId="0" fontId="0" fillId="3" borderId="42" xfId="0" applyFill="1" applyBorder="1" applyAlignment="1">
      <alignment horizontal="center" vertical="center"/>
    </xf>
    <xf numFmtId="0" fontId="0" fillId="0" borderId="46" xfId="0" applyFont="1" applyBorder="1" applyAlignment="1">
      <alignment horizontal="center" vertical="center" wrapText="1"/>
    </xf>
    <xf numFmtId="0" fontId="0" fillId="0" borderId="47" xfId="0" applyFont="1" applyBorder="1" applyAlignment="1">
      <alignment horizontal="center" vertical="center" wrapText="1"/>
    </xf>
    <xf numFmtId="0" fontId="0" fillId="0" borderId="52" xfId="0" applyFont="1" applyBorder="1" applyAlignment="1">
      <alignment horizontal="center" vertical="center" wrapText="1"/>
    </xf>
    <xf numFmtId="0" fontId="13" fillId="19" borderId="44" xfId="0" applyFont="1"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3" borderId="52" xfId="0" applyFill="1" applyBorder="1" applyAlignment="1">
      <alignment horizontal="center" vertical="center"/>
    </xf>
    <xf numFmtId="0" fontId="0" fillId="3" borderId="48" xfId="0" applyFill="1" applyBorder="1" applyAlignment="1">
      <alignment horizontal="center" vertical="center"/>
    </xf>
    <xf numFmtId="0" fontId="0" fillId="3" borderId="43" xfId="0" applyFill="1" applyBorder="1" applyAlignment="1">
      <alignment horizontal="center" vertical="center"/>
    </xf>
    <xf numFmtId="0" fontId="0" fillId="3" borderId="53" xfId="0" applyFill="1" applyBorder="1" applyAlignment="1">
      <alignment horizontal="center" vertical="center"/>
    </xf>
    <xf numFmtId="0" fontId="22" fillId="19" borderId="62" xfId="0" applyFont="1" applyFill="1" applyBorder="1" applyAlignment="1">
      <alignment horizontal="center" vertical="center" wrapText="1"/>
    </xf>
    <xf numFmtId="0" fontId="22" fillId="19" borderId="63" xfId="0" applyFont="1" applyFill="1" applyBorder="1" applyAlignment="1">
      <alignment horizontal="center" vertical="center" wrapText="1"/>
    </xf>
    <xf numFmtId="0" fontId="22" fillId="19" borderId="64" xfId="0" applyFont="1" applyFill="1" applyBorder="1" applyAlignment="1">
      <alignment horizontal="center" vertical="center" wrapText="1"/>
    </xf>
    <xf numFmtId="0" fontId="29" fillId="0" borderId="45" xfId="6" applyBorder="1" applyAlignment="1">
      <alignment horizontal="center" vertical="center"/>
    </xf>
    <xf numFmtId="0" fontId="13" fillId="19" borderId="45" xfId="0" applyFont="1" applyFill="1" applyBorder="1" applyAlignment="1">
      <alignment horizontal="center" vertical="center"/>
    </xf>
    <xf numFmtId="0" fontId="22" fillId="19" borderId="49" xfId="0" applyFont="1" applyFill="1" applyBorder="1" applyAlignment="1">
      <alignment horizontal="center" vertical="center"/>
    </xf>
    <xf numFmtId="0" fontId="22" fillId="19" borderId="50" xfId="0" applyFont="1" applyFill="1" applyBorder="1" applyAlignment="1">
      <alignment horizontal="center" vertical="center"/>
    </xf>
    <xf numFmtId="0" fontId="22" fillId="19" borderId="51" xfId="0" applyFont="1" applyFill="1" applyBorder="1" applyAlignment="1">
      <alignment horizontal="center" vertical="center"/>
    </xf>
    <xf numFmtId="0" fontId="22" fillId="19" borderId="42" xfId="0" applyFont="1" applyFill="1" applyBorder="1" applyAlignment="1">
      <alignment horizontal="center" vertical="center"/>
    </xf>
    <xf numFmtId="0" fontId="24" fillId="11" borderId="45" xfId="0" applyFont="1" applyFill="1" applyBorder="1" applyAlignment="1">
      <alignment horizontal="center" vertical="center"/>
    </xf>
    <xf numFmtId="0" fontId="0" fillId="5" borderId="42" xfId="0" applyFill="1" applyBorder="1" applyAlignment="1">
      <alignment horizontal="center" vertical="center"/>
    </xf>
    <xf numFmtId="0" fontId="0" fillId="0" borderId="70" xfId="0" applyFont="1" applyBorder="1" applyAlignment="1">
      <alignment horizontal="left" vertical="center" wrapText="1"/>
    </xf>
    <xf numFmtId="0" fontId="0" fillId="0" borderId="71" xfId="0" applyFont="1" applyBorder="1" applyAlignment="1">
      <alignment horizontal="left" vertical="center" wrapText="1"/>
    </xf>
    <xf numFmtId="0" fontId="0" fillId="3" borderId="59" xfId="0" applyFill="1" applyBorder="1" applyAlignment="1">
      <alignment horizontal="center" vertical="center"/>
    </xf>
    <xf numFmtId="0" fontId="0" fillId="3" borderId="0" xfId="0" applyFill="1" applyBorder="1" applyAlignment="1">
      <alignment horizontal="center" vertical="center"/>
    </xf>
    <xf numFmtId="0" fontId="0" fillId="3" borderId="60" xfId="0" applyFill="1" applyBorder="1" applyAlignment="1">
      <alignment horizontal="center" vertical="center"/>
    </xf>
    <xf numFmtId="0" fontId="0" fillId="16" borderId="42" xfId="0" applyFill="1" applyBorder="1" applyAlignment="1">
      <alignment horizontal="center" vertical="center" wrapText="1"/>
    </xf>
    <xf numFmtId="0" fontId="0" fillId="16" borderId="51" xfId="0" applyFill="1" applyBorder="1" applyAlignment="1">
      <alignment horizontal="center" vertical="center" wrapText="1"/>
    </xf>
    <xf numFmtId="0" fontId="0" fillId="18" borderId="67" xfId="0" applyFill="1" applyBorder="1" applyAlignment="1">
      <alignment horizontal="center" vertical="center"/>
    </xf>
    <xf numFmtId="0" fontId="0" fillId="18" borderId="68" xfId="0" applyFill="1" applyBorder="1" applyAlignment="1">
      <alignment horizontal="center" vertical="center"/>
    </xf>
    <xf numFmtId="0" fontId="0" fillId="18" borderId="69" xfId="0" applyFill="1" applyBorder="1" applyAlignment="1">
      <alignment horizontal="center" vertical="center"/>
    </xf>
    <xf numFmtId="0" fontId="0" fillId="18" borderId="48" xfId="0" applyFill="1" applyBorder="1" applyAlignment="1">
      <alignment horizontal="center" vertical="center"/>
    </xf>
    <xf numFmtId="0" fontId="0" fillId="18" borderId="43" xfId="0" applyFill="1" applyBorder="1" applyAlignment="1">
      <alignment horizontal="center" vertical="center"/>
    </xf>
    <xf numFmtId="0" fontId="0" fillId="18" borderId="53" xfId="0" applyFill="1" applyBorder="1" applyAlignment="1">
      <alignment horizontal="center" vertical="center"/>
    </xf>
    <xf numFmtId="0" fontId="13" fillId="19" borderId="73" xfId="0" applyFont="1" applyFill="1" applyBorder="1" applyAlignment="1">
      <alignment horizontal="center" vertical="center"/>
    </xf>
    <xf numFmtId="0" fontId="23" fillId="11" borderId="48" xfId="0" applyFont="1" applyFill="1" applyBorder="1" applyAlignment="1">
      <alignment horizontal="center" vertical="center"/>
    </xf>
    <xf numFmtId="0" fontId="23" fillId="11" borderId="43" xfId="0" applyFont="1" applyFill="1" applyBorder="1" applyAlignment="1">
      <alignment horizontal="center" vertical="center"/>
    </xf>
    <xf numFmtId="0" fontId="23" fillId="11" borderId="53" xfId="0" applyFont="1" applyFill="1" applyBorder="1" applyAlignment="1">
      <alignment horizontal="center" vertical="center"/>
    </xf>
    <xf numFmtId="0" fontId="0" fillId="17" borderId="42" xfId="0" applyFill="1" applyBorder="1" applyAlignment="1">
      <alignment horizontal="center" vertical="top" wrapText="1"/>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52" xfId="0" applyFont="1" applyBorder="1" applyAlignment="1">
      <alignment horizontal="center" vertical="center"/>
    </xf>
    <xf numFmtId="0" fontId="23" fillId="11" borderId="46" xfId="0" applyFont="1" applyFill="1" applyBorder="1" applyAlignment="1">
      <alignment horizontal="center" vertical="center"/>
    </xf>
    <xf numFmtId="0" fontId="23" fillId="11" borderId="47" xfId="0" applyFont="1" applyFill="1" applyBorder="1" applyAlignment="1">
      <alignment horizontal="center" vertical="center"/>
    </xf>
    <xf numFmtId="0" fontId="23" fillId="11" borderId="52" xfId="0" applyFont="1" applyFill="1" applyBorder="1" applyAlignment="1">
      <alignment horizontal="center" vertical="center"/>
    </xf>
    <xf numFmtId="0" fontId="23" fillId="11" borderId="73" xfId="0" applyFont="1" applyFill="1" applyBorder="1" applyAlignment="1">
      <alignment horizontal="center" vertical="center"/>
    </xf>
    <xf numFmtId="0" fontId="0" fillId="16" borderId="45" xfId="0" applyFill="1" applyBorder="1" applyAlignment="1">
      <alignment horizontal="center" vertical="center" wrapText="1"/>
    </xf>
    <xf numFmtId="0" fontId="0" fillId="16" borderId="44" xfId="0" applyFill="1" applyBorder="1" applyAlignment="1">
      <alignment horizontal="center" vertical="center" wrapText="1"/>
    </xf>
    <xf numFmtId="0" fontId="0" fillId="0" borderId="54" xfId="0" applyFill="1" applyBorder="1" applyAlignment="1">
      <alignment horizontal="center" vertical="center"/>
    </xf>
    <xf numFmtId="0" fontId="0" fillId="0" borderId="55" xfId="0" applyFill="1" applyBorder="1" applyAlignment="1">
      <alignment horizontal="center" vertical="center"/>
    </xf>
    <xf numFmtId="0" fontId="0" fillId="0" borderId="56" xfId="0" applyFill="1" applyBorder="1" applyAlignment="1">
      <alignment horizontal="center" vertical="center"/>
    </xf>
    <xf numFmtId="0" fontId="23" fillId="11" borderId="70" xfId="0" applyFont="1" applyFill="1" applyBorder="1" applyAlignment="1">
      <alignment horizontal="center" vertical="center" wrapText="1"/>
    </xf>
    <xf numFmtId="0" fontId="23" fillId="11" borderId="71" xfId="0" applyFont="1" applyFill="1" applyBorder="1" applyAlignment="1">
      <alignment horizontal="center" vertical="center" wrapText="1"/>
    </xf>
    <xf numFmtId="0" fontId="23" fillId="11" borderId="72" xfId="0" applyFont="1" applyFill="1" applyBorder="1" applyAlignment="1">
      <alignment horizontal="center" vertical="center" wrapText="1"/>
    </xf>
    <xf numFmtId="0" fontId="0" fillId="0" borderId="67" xfId="0" applyFont="1" applyBorder="1" applyAlignment="1">
      <alignment horizontal="center" vertical="center" wrapText="1"/>
    </xf>
    <xf numFmtId="0" fontId="0" fillId="0" borderId="68" xfId="0" applyFont="1" applyBorder="1" applyAlignment="1">
      <alignment horizontal="center" vertical="center" wrapText="1"/>
    </xf>
    <xf numFmtId="0" fontId="0" fillId="0" borderId="69" xfId="0" applyFont="1" applyBorder="1" applyAlignment="1">
      <alignment horizontal="center" vertical="center" wrapText="1"/>
    </xf>
    <xf numFmtId="0" fontId="0" fillId="0" borderId="67" xfId="0" applyFont="1" applyBorder="1" applyAlignment="1">
      <alignment horizontal="center" vertical="center"/>
    </xf>
    <xf numFmtId="0" fontId="0" fillId="0" borderId="68" xfId="0" applyFont="1" applyBorder="1" applyAlignment="1">
      <alignment horizontal="center" vertical="center"/>
    </xf>
    <xf numFmtId="0" fontId="0" fillId="0" borderId="69" xfId="0" applyFont="1" applyBorder="1" applyAlignment="1">
      <alignment horizontal="center" vertical="center"/>
    </xf>
    <xf numFmtId="0" fontId="23" fillId="11" borderId="62" xfId="0" applyFont="1" applyFill="1" applyBorder="1" applyAlignment="1">
      <alignment horizontal="center" vertical="center"/>
    </xf>
    <xf numFmtId="0" fontId="23" fillId="11" borderId="63" xfId="0" applyFont="1" applyFill="1" applyBorder="1" applyAlignment="1">
      <alignment horizontal="center" vertical="center"/>
    </xf>
    <xf numFmtId="0" fontId="23" fillId="11" borderId="64" xfId="0" applyFont="1" applyFill="1" applyBorder="1" applyAlignment="1">
      <alignment horizontal="center" vertical="center"/>
    </xf>
    <xf numFmtId="0" fontId="0" fillId="20" borderId="70" xfId="0" applyFill="1" applyBorder="1" applyAlignment="1">
      <alignment horizontal="center" vertical="center"/>
    </xf>
    <xf numFmtId="0" fontId="0" fillId="20" borderId="71" xfId="0" applyFill="1" applyBorder="1" applyAlignment="1">
      <alignment horizontal="center" vertical="center"/>
    </xf>
    <xf numFmtId="0" fontId="0" fillId="20" borderId="72" xfId="0" applyFill="1"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48" xfId="0" applyFill="1" applyBorder="1" applyAlignment="1">
      <alignment horizontal="center" vertical="center"/>
    </xf>
    <xf numFmtId="0" fontId="0" fillId="0" borderId="43" xfId="0" applyFill="1" applyBorder="1" applyAlignment="1">
      <alignment horizontal="center" vertical="center"/>
    </xf>
    <xf numFmtId="0" fontId="0" fillId="0" borderId="53" xfId="0" applyFill="1" applyBorder="1" applyAlignment="1">
      <alignment horizontal="center" vertical="center"/>
    </xf>
    <xf numFmtId="0" fontId="0" fillId="20" borderId="46" xfId="0" applyFont="1" applyFill="1" applyBorder="1" applyAlignment="1">
      <alignment horizontal="center" vertical="center" wrapText="1"/>
    </xf>
    <xf numFmtId="0" fontId="0" fillId="20" borderId="47" xfId="0" applyFont="1" applyFill="1" applyBorder="1" applyAlignment="1">
      <alignment horizontal="center" vertical="center" wrapText="1"/>
    </xf>
    <xf numFmtId="0" fontId="0" fillId="20" borderId="52" xfId="0" applyFont="1" applyFill="1" applyBorder="1" applyAlignment="1">
      <alignment horizontal="center" vertical="center" wrapText="1"/>
    </xf>
    <xf numFmtId="0" fontId="29" fillId="20" borderId="70" xfId="6" applyFill="1" applyBorder="1" applyAlignment="1">
      <alignment horizontal="center" vertical="center"/>
    </xf>
    <xf numFmtId="0" fontId="0" fillId="20" borderId="71" xfId="0" applyFont="1" applyFill="1" applyBorder="1" applyAlignment="1">
      <alignment horizontal="center" vertical="center"/>
    </xf>
    <xf numFmtId="0" fontId="0" fillId="20" borderId="72" xfId="0" applyFont="1" applyFill="1" applyBorder="1" applyAlignment="1">
      <alignment horizontal="center" vertical="center"/>
    </xf>
    <xf numFmtId="0" fontId="21" fillId="0" borderId="46" xfId="0" applyFont="1" applyBorder="1" applyAlignment="1">
      <alignment horizontal="center" vertical="center" wrapText="1"/>
    </xf>
    <xf numFmtId="0" fontId="21" fillId="0" borderId="47" xfId="0" applyFont="1" applyBorder="1" applyAlignment="1">
      <alignment horizontal="center" vertical="center" wrapText="1"/>
    </xf>
    <xf numFmtId="0" fontId="21" fillId="0" borderId="52" xfId="0" applyFont="1" applyBorder="1" applyAlignment="1">
      <alignment horizontal="center" vertical="center" wrapText="1"/>
    </xf>
    <xf numFmtId="0" fontId="29" fillId="0" borderId="46" xfId="6" applyBorder="1" applyAlignment="1">
      <alignment horizontal="center" vertical="center"/>
    </xf>
    <xf numFmtId="0" fontId="29" fillId="0" borderId="54" xfId="6" applyBorder="1" applyAlignment="1">
      <alignment horizontal="center" vertical="center"/>
    </xf>
    <xf numFmtId="0" fontId="23" fillId="11" borderId="67" xfId="0" applyFont="1" applyFill="1" applyBorder="1" applyAlignment="1">
      <alignment horizontal="center" vertical="center"/>
    </xf>
    <xf numFmtId="0" fontId="23" fillId="11" borderId="68" xfId="0" applyFont="1" applyFill="1" applyBorder="1" applyAlignment="1">
      <alignment horizontal="center" vertical="center"/>
    </xf>
    <xf numFmtId="0" fontId="23" fillId="11" borderId="69" xfId="0" applyFont="1" applyFill="1" applyBorder="1" applyAlignment="1">
      <alignment horizontal="center" vertical="center"/>
    </xf>
    <xf numFmtId="0" fontId="0" fillId="20" borderId="48" xfId="0" applyFill="1" applyBorder="1" applyAlignment="1">
      <alignment horizontal="center" vertical="center"/>
    </xf>
    <xf numFmtId="0" fontId="0" fillId="20" borderId="43" xfId="0" applyFill="1" applyBorder="1" applyAlignment="1">
      <alignment horizontal="center" vertical="center"/>
    </xf>
    <xf numFmtId="0" fontId="0" fillId="20" borderId="53" xfId="0" applyFill="1" applyBorder="1" applyAlignment="1">
      <alignment horizontal="center" vertical="center"/>
    </xf>
    <xf numFmtId="0" fontId="0" fillId="23" borderId="49" xfId="0" applyFill="1" applyBorder="1" applyAlignment="1">
      <alignment horizontal="center" vertical="center"/>
    </xf>
    <xf numFmtId="0" fontId="0" fillId="23" borderId="50" xfId="0" applyFill="1" applyBorder="1" applyAlignment="1">
      <alignment horizontal="center" vertical="center"/>
    </xf>
    <xf numFmtId="0" fontId="0" fillId="23" borderId="51" xfId="0" applyFill="1" applyBorder="1" applyAlignment="1">
      <alignment horizontal="center" vertical="center"/>
    </xf>
    <xf numFmtId="0" fontId="0" fillId="19" borderId="46" xfId="0" applyFill="1" applyBorder="1" applyAlignment="1">
      <alignment horizontal="center" vertical="center" wrapText="1"/>
    </xf>
    <xf numFmtId="0" fontId="0" fillId="19" borderId="47" xfId="0" applyFill="1" applyBorder="1" applyAlignment="1">
      <alignment horizontal="center" vertical="center" wrapText="1"/>
    </xf>
    <xf numFmtId="0" fontId="0" fillId="19" borderId="52" xfId="0" applyFill="1" applyBorder="1" applyAlignment="1">
      <alignment horizontal="center" vertical="center" wrapText="1"/>
    </xf>
    <xf numFmtId="0" fontId="0" fillId="19" borderId="59" xfId="0" applyFill="1" applyBorder="1" applyAlignment="1">
      <alignment horizontal="center" vertical="center" wrapText="1"/>
    </xf>
    <xf numFmtId="0" fontId="0" fillId="19" borderId="0" xfId="0" applyFill="1" applyBorder="1" applyAlignment="1">
      <alignment horizontal="center" vertical="center" wrapText="1"/>
    </xf>
    <xf numFmtId="0" fontId="0" fillId="19" borderId="60" xfId="0" applyFill="1" applyBorder="1" applyAlignment="1">
      <alignment horizontal="center" vertical="center" wrapText="1"/>
    </xf>
    <xf numFmtId="0" fontId="0" fillId="19" borderId="48" xfId="0" applyFill="1" applyBorder="1" applyAlignment="1">
      <alignment horizontal="center" vertical="center" wrapText="1"/>
    </xf>
    <xf numFmtId="0" fontId="0" fillId="19" borderId="43" xfId="0" applyFill="1" applyBorder="1" applyAlignment="1">
      <alignment horizontal="center" vertical="center" wrapText="1"/>
    </xf>
    <xf numFmtId="0" fontId="0" fillId="19" borderId="53" xfId="0" applyFill="1" applyBorder="1" applyAlignment="1">
      <alignment horizontal="center" vertical="center" wrapText="1"/>
    </xf>
    <xf numFmtId="0" fontId="29" fillId="0" borderId="76" xfId="6" applyBorder="1" applyAlignment="1">
      <alignment horizontal="center" vertical="center"/>
    </xf>
    <xf numFmtId="0" fontId="0" fillId="0" borderId="76" xfId="0" applyBorder="1" applyAlignment="1">
      <alignment horizontal="center" vertical="center"/>
    </xf>
    <xf numFmtId="0" fontId="29" fillId="0" borderId="62" xfId="6" applyBorder="1" applyAlignment="1">
      <alignment horizontal="center" vertical="center"/>
    </xf>
  </cellXfs>
  <cellStyles count="7">
    <cellStyle name="ハイパーリンク" xfId="6" builtinId="8"/>
    <cellStyle name="標準" xfId="0" builtinId="0"/>
    <cellStyle name="標準 2" xfId="1"/>
    <cellStyle name="標準 3" xfId="2"/>
    <cellStyle name="標準 4" xfId="3"/>
    <cellStyle name="標準 5" xfId="4"/>
    <cellStyle name="標準 6" xfId="5"/>
  </cellStyles>
  <dxfs count="125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9" defaultPivotStyle="PivotStyleLight16"/>
  <colors>
    <mruColors>
      <color rgb="FFFFFFCC"/>
      <color rgb="FFFFFF99"/>
      <color rgb="FFFFDDFF"/>
      <color rgb="FFCCECFF"/>
      <color rgb="FFFFFFD9"/>
      <color rgb="FF0066FF"/>
      <color rgb="FFC1FFEA"/>
      <color rgb="FFFFA3FF"/>
      <color rgb="FFCCFFCC"/>
      <color rgb="FF00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52</xdr:col>
      <xdr:colOff>209175</xdr:colOff>
      <xdr:row>38</xdr:row>
      <xdr:rowOff>112059</xdr:rowOff>
    </xdr:from>
    <xdr:to>
      <xdr:col>59</xdr:col>
      <xdr:colOff>171824</xdr:colOff>
      <xdr:row>44</xdr:row>
      <xdr:rowOff>104588</xdr:rowOff>
    </xdr:to>
    <xdr:sp macro="" textlink="">
      <xdr:nvSpPr>
        <xdr:cNvPr id="12" name="四角形吹き出し 11"/>
        <xdr:cNvSpPr/>
      </xdr:nvSpPr>
      <xdr:spPr>
        <a:xfrm>
          <a:off x="16913410" y="8128000"/>
          <a:ext cx="2211296" cy="1359647"/>
        </a:xfrm>
        <a:prstGeom prst="wedgeRectCallout">
          <a:avLst>
            <a:gd name="adj1" fmla="val -22636"/>
            <a:gd name="adj2" fmla="val 92625"/>
          </a:avLst>
        </a:prstGeom>
        <a:solidFill>
          <a:srgbClr val="FFFFD9"/>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67234</xdr:colOff>
      <xdr:row>39</xdr:row>
      <xdr:rowOff>0</xdr:rowOff>
    </xdr:from>
    <xdr:to>
      <xdr:col>53</xdr:col>
      <xdr:colOff>224117</xdr:colOff>
      <xdr:row>39</xdr:row>
      <xdr:rowOff>127000</xdr:rowOff>
    </xdr:to>
    <xdr:sp macro="" textlink="">
      <xdr:nvSpPr>
        <xdr:cNvPr id="2" name="正方形/長方形 1"/>
        <xdr:cNvSpPr/>
      </xdr:nvSpPr>
      <xdr:spPr>
        <a:xfrm>
          <a:off x="17092705" y="8232588"/>
          <a:ext cx="156883" cy="1270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306293</xdr:colOff>
      <xdr:row>38</xdr:row>
      <xdr:rowOff>149410</xdr:rowOff>
    </xdr:from>
    <xdr:to>
      <xdr:col>54</xdr:col>
      <xdr:colOff>67235</xdr:colOff>
      <xdr:row>39</xdr:row>
      <xdr:rowOff>201706</xdr:rowOff>
    </xdr:to>
    <xdr:sp macro="" textlink="">
      <xdr:nvSpPr>
        <xdr:cNvPr id="3" name="テキスト ボックス 2"/>
        <xdr:cNvSpPr txBox="1"/>
      </xdr:nvSpPr>
      <xdr:spPr>
        <a:xfrm>
          <a:off x="17010528" y="8165351"/>
          <a:ext cx="403413" cy="26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53</xdr:col>
      <xdr:colOff>276410</xdr:colOff>
      <xdr:row>38</xdr:row>
      <xdr:rowOff>149411</xdr:rowOff>
    </xdr:from>
    <xdr:to>
      <xdr:col>56</xdr:col>
      <xdr:colOff>216646</xdr:colOff>
      <xdr:row>39</xdr:row>
      <xdr:rowOff>164352</xdr:rowOff>
    </xdr:to>
    <xdr:sp macro="" textlink="">
      <xdr:nvSpPr>
        <xdr:cNvPr id="4" name="テキスト ボックス 3"/>
        <xdr:cNvSpPr txBox="1"/>
      </xdr:nvSpPr>
      <xdr:spPr>
        <a:xfrm>
          <a:off x="17301881" y="8165352"/>
          <a:ext cx="903941"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ON</a:t>
          </a:r>
          <a:r>
            <a:rPr kumimoji="1" lang="ja-JP" altLang="en-US" sz="1000"/>
            <a:t>で活性</a:t>
          </a:r>
        </a:p>
      </xdr:txBody>
    </xdr:sp>
    <xdr:clientData/>
  </xdr:twoCellAnchor>
  <xdr:twoCellAnchor>
    <xdr:from>
      <xdr:col>53</xdr:col>
      <xdr:colOff>67234</xdr:colOff>
      <xdr:row>39</xdr:row>
      <xdr:rowOff>209173</xdr:rowOff>
    </xdr:from>
    <xdr:to>
      <xdr:col>53</xdr:col>
      <xdr:colOff>224117</xdr:colOff>
      <xdr:row>41</xdr:row>
      <xdr:rowOff>119526</xdr:rowOff>
    </xdr:to>
    <xdr:sp macro="" textlink="">
      <xdr:nvSpPr>
        <xdr:cNvPr id="5" name="正方形/長方形 4"/>
        <xdr:cNvSpPr/>
      </xdr:nvSpPr>
      <xdr:spPr>
        <a:xfrm>
          <a:off x="17092705" y="8441761"/>
          <a:ext cx="156883" cy="1270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268939</xdr:colOff>
      <xdr:row>39</xdr:row>
      <xdr:rowOff>149407</xdr:rowOff>
    </xdr:from>
    <xdr:to>
      <xdr:col>56</xdr:col>
      <xdr:colOff>209175</xdr:colOff>
      <xdr:row>41</xdr:row>
      <xdr:rowOff>164348</xdr:rowOff>
    </xdr:to>
    <xdr:sp macro="" textlink="">
      <xdr:nvSpPr>
        <xdr:cNvPr id="6" name="テキスト ボックス 5"/>
        <xdr:cNvSpPr txBox="1"/>
      </xdr:nvSpPr>
      <xdr:spPr>
        <a:xfrm>
          <a:off x="17294410" y="8381995"/>
          <a:ext cx="903941"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OFF</a:t>
          </a:r>
          <a:r>
            <a:rPr kumimoji="1" lang="ja-JP" altLang="en-US" sz="1000"/>
            <a:t>で活性</a:t>
          </a:r>
        </a:p>
      </xdr:txBody>
    </xdr:sp>
    <xdr:clientData/>
  </xdr:twoCellAnchor>
  <xdr:twoCellAnchor>
    <xdr:from>
      <xdr:col>53</xdr:col>
      <xdr:colOff>67234</xdr:colOff>
      <xdr:row>42</xdr:row>
      <xdr:rowOff>29878</xdr:rowOff>
    </xdr:from>
    <xdr:to>
      <xdr:col>53</xdr:col>
      <xdr:colOff>224117</xdr:colOff>
      <xdr:row>42</xdr:row>
      <xdr:rowOff>156878</xdr:rowOff>
    </xdr:to>
    <xdr:sp macro="" textlink="">
      <xdr:nvSpPr>
        <xdr:cNvPr id="7" name="正方形/長方形 6"/>
        <xdr:cNvSpPr/>
      </xdr:nvSpPr>
      <xdr:spPr>
        <a:xfrm>
          <a:off x="17092705" y="8837702"/>
          <a:ext cx="156883" cy="1270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268939</xdr:colOff>
      <xdr:row>41</xdr:row>
      <xdr:rowOff>328701</xdr:rowOff>
    </xdr:from>
    <xdr:to>
      <xdr:col>56</xdr:col>
      <xdr:colOff>209175</xdr:colOff>
      <xdr:row>42</xdr:row>
      <xdr:rowOff>201700</xdr:rowOff>
    </xdr:to>
    <xdr:sp macro="" textlink="">
      <xdr:nvSpPr>
        <xdr:cNvPr id="8" name="テキスト ボックス 7"/>
        <xdr:cNvSpPr txBox="1"/>
      </xdr:nvSpPr>
      <xdr:spPr>
        <a:xfrm>
          <a:off x="17294410" y="8777936"/>
          <a:ext cx="903941"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OFF</a:t>
          </a:r>
          <a:r>
            <a:rPr kumimoji="1" lang="ja-JP" altLang="en-US" sz="1000"/>
            <a:t>で非活性</a:t>
          </a:r>
        </a:p>
      </xdr:txBody>
    </xdr:sp>
    <xdr:clientData/>
  </xdr:twoCellAnchor>
  <xdr:twoCellAnchor>
    <xdr:from>
      <xdr:col>53</xdr:col>
      <xdr:colOff>74705</xdr:colOff>
      <xdr:row>41</xdr:row>
      <xdr:rowOff>194236</xdr:rowOff>
    </xdr:from>
    <xdr:to>
      <xdr:col>53</xdr:col>
      <xdr:colOff>231588</xdr:colOff>
      <xdr:row>41</xdr:row>
      <xdr:rowOff>321236</xdr:rowOff>
    </xdr:to>
    <xdr:sp macro="" textlink="">
      <xdr:nvSpPr>
        <xdr:cNvPr id="9" name="正方形/長方形 8"/>
        <xdr:cNvSpPr/>
      </xdr:nvSpPr>
      <xdr:spPr>
        <a:xfrm>
          <a:off x="17100176" y="8643471"/>
          <a:ext cx="156883" cy="1270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313764</xdr:colOff>
      <xdr:row>41</xdr:row>
      <xdr:rowOff>126999</xdr:rowOff>
    </xdr:from>
    <xdr:to>
      <xdr:col>54</xdr:col>
      <xdr:colOff>74706</xdr:colOff>
      <xdr:row>42</xdr:row>
      <xdr:rowOff>37353</xdr:rowOff>
    </xdr:to>
    <xdr:sp macro="" textlink="">
      <xdr:nvSpPr>
        <xdr:cNvPr id="10" name="テキスト ボックス 9"/>
        <xdr:cNvSpPr txBox="1"/>
      </xdr:nvSpPr>
      <xdr:spPr>
        <a:xfrm>
          <a:off x="17017999" y="8576234"/>
          <a:ext cx="403413" cy="26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53</xdr:col>
      <xdr:colOff>283881</xdr:colOff>
      <xdr:row>41</xdr:row>
      <xdr:rowOff>127000</xdr:rowOff>
    </xdr:from>
    <xdr:to>
      <xdr:col>56</xdr:col>
      <xdr:colOff>224117</xdr:colOff>
      <xdr:row>42</xdr:row>
      <xdr:rowOff>-1</xdr:rowOff>
    </xdr:to>
    <xdr:sp macro="" textlink="">
      <xdr:nvSpPr>
        <xdr:cNvPr id="11" name="テキスト ボックス 10"/>
        <xdr:cNvSpPr txBox="1"/>
      </xdr:nvSpPr>
      <xdr:spPr>
        <a:xfrm>
          <a:off x="17309352" y="8576235"/>
          <a:ext cx="903941"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ON</a:t>
          </a:r>
          <a:r>
            <a:rPr kumimoji="1" lang="ja-JP" altLang="en-US" sz="1000"/>
            <a:t>で非活性</a:t>
          </a:r>
        </a:p>
      </xdr:txBody>
    </xdr:sp>
    <xdr:clientData/>
  </xdr:twoCellAnchor>
  <xdr:twoCellAnchor>
    <xdr:from>
      <xdr:col>52</xdr:col>
      <xdr:colOff>253997</xdr:colOff>
      <xdr:row>42</xdr:row>
      <xdr:rowOff>194232</xdr:rowOff>
    </xdr:from>
    <xdr:to>
      <xdr:col>59</xdr:col>
      <xdr:colOff>239059</xdr:colOff>
      <xdr:row>44</xdr:row>
      <xdr:rowOff>141940</xdr:rowOff>
    </xdr:to>
    <xdr:sp macro="" textlink="">
      <xdr:nvSpPr>
        <xdr:cNvPr id="13" name="テキスト ボックス 12"/>
        <xdr:cNvSpPr txBox="1"/>
      </xdr:nvSpPr>
      <xdr:spPr>
        <a:xfrm>
          <a:off x="16958232" y="9002056"/>
          <a:ext cx="2233709" cy="52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a:t>
          </a:r>
          <a:r>
            <a:rPr kumimoji="1" lang="ja-JP" altLang="en-US" sz="1000"/>
            <a:t>活性は</a:t>
          </a:r>
          <a:r>
            <a:rPr kumimoji="1" lang="en-US" altLang="ja-JP" sz="1000"/>
            <a:t>ON/OFF</a:t>
          </a:r>
          <a:r>
            <a:rPr kumimoji="1" lang="ja-JP" altLang="en-US" sz="1000"/>
            <a:t>の切り替えが</a:t>
          </a:r>
          <a:endParaRPr kumimoji="1" lang="en-US" altLang="ja-JP" sz="1000"/>
        </a:p>
        <a:p>
          <a:r>
            <a:rPr kumimoji="1" lang="ja-JP" altLang="en-US" sz="1000"/>
            <a:t>できる状態。非活性はできない状態。</a:t>
          </a:r>
        </a:p>
      </xdr:txBody>
    </xdr:sp>
    <xdr:clientData/>
  </xdr:twoCellAnchor>
  <xdr:twoCellAnchor>
    <xdr:from>
      <xdr:col>66</xdr:col>
      <xdr:colOff>134469</xdr:colOff>
      <xdr:row>41</xdr:row>
      <xdr:rowOff>313765</xdr:rowOff>
    </xdr:from>
    <xdr:to>
      <xdr:col>73</xdr:col>
      <xdr:colOff>97118</xdr:colOff>
      <xdr:row>44</xdr:row>
      <xdr:rowOff>104588</xdr:rowOff>
    </xdr:to>
    <xdr:sp macro="" textlink="">
      <xdr:nvSpPr>
        <xdr:cNvPr id="14" name="四角形吹き出し 13"/>
        <xdr:cNvSpPr/>
      </xdr:nvSpPr>
      <xdr:spPr>
        <a:xfrm>
          <a:off x="21335998" y="8763000"/>
          <a:ext cx="2211296" cy="724647"/>
        </a:xfrm>
        <a:prstGeom prst="wedgeRectCallout">
          <a:avLst>
            <a:gd name="adj1" fmla="val -22635"/>
            <a:gd name="adj2" fmla="val 105200"/>
          </a:avLst>
        </a:prstGeom>
        <a:solidFill>
          <a:srgbClr val="FFFFD9"/>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141939</xdr:colOff>
      <xdr:row>42</xdr:row>
      <xdr:rowOff>7470</xdr:rowOff>
    </xdr:from>
    <xdr:to>
      <xdr:col>73</xdr:col>
      <xdr:colOff>97120</xdr:colOff>
      <xdr:row>44</xdr:row>
      <xdr:rowOff>67236</xdr:rowOff>
    </xdr:to>
    <xdr:sp macro="" textlink="">
      <xdr:nvSpPr>
        <xdr:cNvPr id="15" name="テキスト ボックス 14"/>
        <xdr:cNvSpPr txBox="1"/>
      </xdr:nvSpPr>
      <xdr:spPr>
        <a:xfrm>
          <a:off x="21343468" y="8815294"/>
          <a:ext cx="2203828" cy="63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活性はボタンが青色でクリックできる状態。非活性はボタンがグレーでクリックできない状態。</a:t>
          </a:r>
        </a:p>
      </xdr:txBody>
    </xdr:sp>
    <xdr:clientData/>
  </xdr:twoCellAnchor>
  <xdr:twoCellAnchor>
    <xdr:from>
      <xdr:col>53</xdr:col>
      <xdr:colOff>67234</xdr:colOff>
      <xdr:row>40</xdr:row>
      <xdr:rowOff>0</xdr:rowOff>
    </xdr:from>
    <xdr:to>
      <xdr:col>53</xdr:col>
      <xdr:colOff>224117</xdr:colOff>
      <xdr:row>40</xdr:row>
      <xdr:rowOff>127000</xdr:rowOff>
    </xdr:to>
    <xdr:sp macro="" textlink="">
      <xdr:nvSpPr>
        <xdr:cNvPr id="16" name="正方形/長方形 15"/>
        <xdr:cNvSpPr/>
      </xdr:nvSpPr>
      <xdr:spPr>
        <a:xfrm>
          <a:off x="17122587" y="8449235"/>
          <a:ext cx="156883" cy="1270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306293</xdr:colOff>
      <xdr:row>39</xdr:row>
      <xdr:rowOff>149410</xdr:rowOff>
    </xdr:from>
    <xdr:to>
      <xdr:col>54</xdr:col>
      <xdr:colOff>67235</xdr:colOff>
      <xdr:row>40</xdr:row>
      <xdr:rowOff>201706</xdr:rowOff>
    </xdr:to>
    <xdr:sp macro="" textlink="">
      <xdr:nvSpPr>
        <xdr:cNvPr id="17" name="テキスト ボックス 16"/>
        <xdr:cNvSpPr txBox="1"/>
      </xdr:nvSpPr>
      <xdr:spPr>
        <a:xfrm>
          <a:off x="17040411" y="8381998"/>
          <a:ext cx="403412" cy="26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53</xdr:col>
      <xdr:colOff>276410</xdr:colOff>
      <xdr:row>39</xdr:row>
      <xdr:rowOff>149411</xdr:rowOff>
    </xdr:from>
    <xdr:to>
      <xdr:col>56</xdr:col>
      <xdr:colOff>216646</xdr:colOff>
      <xdr:row>40</xdr:row>
      <xdr:rowOff>164352</xdr:rowOff>
    </xdr:to>
    <xdr:sp macro="" textlink="">
      <xdr:nvSpPr>
        <xdr:cNvPr id="18" name="テキスト ボックス 17"/>
        <xdr:cNvSpPr txBox="1"/>
      </xdr:nvSpPr>
      <xdr:spPr>
        <a:xfrm>
          <a:off x="17331763" y="8381999"/>
          <a:ext cx="903942"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ON</a:t>
          </a:r>
          <a:r>
            <a:rPr kumimoji="1" lang="ja-JP" altLang="en-US" sz="1000"/>
            <a:t>で活性</a:t>
          </a:r>
        </a:p>
      </xdr:txBody>
    </xdr:sp>
    <xdr:clientData/>
  </xdr:twoCellAnchor>
  <xdr:twoCellAnchor>
    <xdr:from>
      <xdr:col>55</xdr:col>
      <xdr:colOff>7470</xdr:colOff>
      <xdr:row>128</xdr:row>
      <xdr:rowOff>127000</xdr:rowOff>
    </xdr:from>
    <xdr:to>
      <xdr:col>64</xdr:col>
      <xdr:colOff>239059</xdr:colOff>
      <xdr:row>130</xdr:row>
      <xdr:rowOff>171824</xdr:rowOff>
    </xdr:to>
    <xdr:sp macro="" textlink="">
      <xdr:nvSpPr>
        <xdr:cNvPr id="19" name="テキスト ボックス 18"/>
        <xdr:cNvSpPr txBox="1"/>
      </xdr:nvSpPr>
      <xdr:spPr>
        <a:xfrm>
          <a:off x="17705294" y="29591000"/>
          <a:ext cx="3122706" cy="478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インポートするデータがない旨のエラーメッセージが表示される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mailto:t.mic_test2-7@test.co.jp" TargetMode="External"/><Relationship Id="rId13" Type="http://schemas.openxmlformats.org/officeDocument/2006/relationships/hyperlink" Target="mailto:t.mic_test2-7@test.co.jp" TargetMode="External"/><Relationship Id="rId18" Type="http://schemas.openxmlformats.org/officeDocument/2006/relationships/hyperlink" Target="mailto:test_v2-7@test.co.jp" TargetMode="External"/><Relationship Id="rId26" Type="http://schemas.openxmlformats.org/officeDocument/2006/relationships/hyperlink" Target="mailto:t.mic_test2-7@test.co.jp" TargetMode="External"/><Relationship Id="rId39" Type="http://schemas.openxmlformats.org/officeDocument/2006/relationships/hyperlink" Target="mailto:test_v2-7@test.co.jp" TargetMode="External"/><Relationship Id="rId3" Type="http://schemas.openxmlformats.org/officeDocument/2006/relationships/hyperlink" Target="mailto:test_v2-7@test.co.jp" TargetMode="External"/><Relationship Id="rId21" Type="http://schemas.openxmlformats.org/officeDocument/2006/relationships/hyperlink" Target="mailto:t.mic_test2-7@test.co.jp" TargetMode="External"/><Relationship Id="rId34" Type="http://schemas.openxmlformats.org/officeDocument/2006/relationships/hyperlink" Target="mailto:t.mic_test2-7@test.co.jp" TargetMode="External"/><Relationship Id="rId42" Type="http://schemas.openxmlformats.org/officeDocument/2006/relationships/vmlDrawing" Target="../drawings/vmlDrawing5.vml"/><Relationship Id="rId7" Type="http://schemas.openxmlformats.org/officeDocument/2006/relationships/hyperlink" Target="mailto:test_v2-7@test.co.jp" TargetMode="External"/><Relationship Id="rId12" Type="http://schemas.openxmlformats.org/officeDocument/2006/relationships/hyperlink" Target="mailto:test_v2-7@test.co.jp" TargetMode="External"/><Relationship Id="rId17" Type="http://schemas.openxmlformats.org/officeDocument/2006/relationships/hyperlink" Target="mailto:test_v2-7@test.co.jp" TargetMode="External"/><Relationship Id="rId25" Type="http://schemas.openxmlformats.org/officeDocument/2006/relationships/hyperlink" Target="mailto:test_v2-7@test.co.jp" TargetMode="External"/><Relationship Id="rId33" Type="http://schemas.openxmlformats.org/officeDocument/2006/relationships/hyperlink" Target="mailto:test_v2-7@test.co.jp" TargetMode="External"/><Relationship Id="rId38" Type="http://schemas.openxmlformats.org/officeDocument/2006/relationships/hyperlink" Target="mailto:t.mic_test2-7@test.co.jp" TargetMode="External"/><Relationship Id="rId2" Type="http://schemas.openxmlformats.org/officeDocument/2006/relationships/hyperlink" Target="mailto:t.mic_test2-7@test.co.jp" TargetMode="External"/><Relationship Id="rId16" Type="http://schemas.openxmlformats.org/officeDocument/2006/relationships/hyperlink" Target="mailto:t.mic_test2-7@test.co.jp" TargetMode="External"/><Relationship Id="rId20" Type="http://schemas.openxmlformats.org/officeDocument/2006/relationships/hyperlink" Target="mailto:t.mic_test2-7@test.co.jp" TargetMode="External"/><Relationship Id="rId29" Type="http://schemas.openxmlformats.org/officeDocument/2006/relationships/hyperlink" Target="mailto:test_v2-7@test.co.jp" TargetMode="External"/><Relationship Id="rId41" Type="http://schemas.openxmlformats.org/officeDocument/2006/relationships/printerSettings" Target="../printerSettings/printerSettings6.bin"/><Relationship Id="rId1" Type="http://schemas.openxmlformats.org/officeDocument/2006/relationships/hyperlink" Target="mailto:test_v2-7@test.co.jp" TargetMode="External"/><Relationship Id="rId6" Type="http://schemas.openxmlformats.org/officeDocument/2006/relationships/hyperlink" Target="mailto:t.mic_test2-7@test.co.jp" TargetMode="External"/><Relationship Id="rId11" Type="http://schemas.openxmlformats.org/officeDocument/2006/relationships/hyperlink" Target="mailto:test_v2-7@test.co.jp" TargetMode="External"/><Relationship Id="rId24" Type="http://schemas.openxmlformats.org/officeDocument/2006/relationships/hyperlink" Target="mailto:t.mic_test2-7@test.co.jp" TargetMode="External"/><Relationship Id="rId32" Type="http://schemas.openxmlformats.org/officeDocument/2006/relationships/hyperlink" Target="mailto:t.mic_test2-7@test.co.jp" TargetMode="External"/><Relationship Id="rId37" Type="http://schemas.openxmlformats.org/officeDocument/2006/relationships/hyperlink" Target="mailto:t.mic_test2-7@test.co.jp" TargetMode="External"/><Relationship Id="rId40" Type="http://schemas.openxmlformats.org/officeDocument/2006/relationships/hyperlink" Target="mailto:t.mic_test2-7@test.co.jp" TargetMode="External"/><Relationship Id="rId5" Type="http://schemas.openxmlformats.org/officeDocument/2006/relationships/hyperlink" Target="mailto:test_v2-7@test.co.jp" TargetMode="External"/><Relationship Id="rId15" Type="http://schemas.openxmlformats.org/officeDocument/2006/relationships/hyperlink" Target="mailto:test_v2-7@test.co.jp" TargetMode="External"/><Relationship Id="rId23" Type="http://schemas.openxmlformats.org/officeDocument/2006/relationships/hyperlink" Target="mailto:test_v2-7@test.co.jp" TargetMode="External"/><Relationship Id="rId28" Type="http://schemas.openxmlformats.org/officeDocument/2006/relationships/hyperlink" Target="mailto:t.mic_test2-7@test.co.jp" TargetMode="External"/><Relationship Id="rId36" Type="http://schemas.openxmlformats.org/officeDocument/2006/relationships/hyperlink" Target="mailto:test_v2-7@test.co.jp" TargetMode="External"/><Relationship Id="rId10" Type="http://schemas.openxmlformats.org/officeDocument/2006/relationships/hyperlink" Target="mailto:t.mic_test2-7@test.co.jp" TargetMode="External"/><Relationship Id="rId19" Type="http://schemas.openxmlformats.org/officeDocument/2006/relationships/hyperlink" Target="mailto:test_v2-7@test.co.jp" TargetMode="External"/><Relationship Id="rId31" Type="http://schemas.openxmlformats.org/officeDocument/2006/relationships/hyperlink" Target="mailto:t.mic_test2-7@test.co.jp" TargetMode="External"/><Relationship Id="rId4" Type="http://schemas.openxmlformats.org/officeDocument/2006/relationships/hyperlink" Target="mailto:t.mic_test2-7@test.co.jp" TargetMode="External"/><Relationship Id="rId9" Type="http://schemas.openxmlformats.org/officeDocument/2006/relationships/hyperlink" Target="mailto:test_v2-7@test.co.jp" TargetMode="External"/><Relationship Id="rId14" Type="http://schemas.openxmlformats.org/officeDocument/2006/relationships/hyperlink" Target="mailto:t.mic_test2-7@test.co.jp" TargetMode="External"/><Relationship Id="rId22" Type="http://schemas.openxmlformats.org/officeDocument/2006/relationships/hyperlink" Target="mailto:t.mic_test2-7@test.co.jp" TargetMode="External"/><Relationship Id="rId27" Type="http://schemas.openxmlformats.org/officeDocument/2006/relationships/hyperlink" Target="mailto:test_v2-7@test.co.jp" TargetMode="External"/><Relationship Id="rId30" Type="http://schemas.openxmlformats.org/officeDocument/2006/relationships/hyperlink" Target="mailto:test_v2-7@test.co.jp" TargetMode="External"/><Relationship Id="rId35" Type="http://schemas.openxmlformats.org/officeDocument/2006/relationships/hyperlink" Target="mailto:test_v2-7@test.co.jp" TargetMode="External"/><Relationship Id="rId43"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3" Type="http://schemas.openxmlformats.org/officeDocument/2006/relationships/hyperlink" Target="mailto:import15_test2-7@test.co.jp" TargetMode="External"/><Relationship Id="rId18" Type="http://schemas.openxmlformats.org/officeDocument/2006/relationships/hyperlink" Target="mailto:import22_test2-7@test.co.jp" TargetMode="External"/><Relationship Id="rId26" Type="http://schemas.openxmlformats.org/officeDocument/2006/relationships/hyperlink" Target="mailto:t.mic_test2-7@test.co.jp" TargetMode="External"/><Relationship Id="rId39" Type="http://schemas.openxmlformats.org/officeDocument/2006/relationships/hyperlink" Target="mailto:import14_test2-7@test.co.jp" TargetMode="External"/><Relationship Id="rId3" Type="http://schemas.openxmlformats.org/officeDocument/2006/relationships/hyperlink" Target="mailto:j.mic_test2-7@test.co.jp" TargetMode="External"/><Relationship Id="rId21" Type="http://schemas.openxmlformats.org/officeDocument/2006/relationships/hyperlink" Target="mailto:import24_test2-7@test.co.jp" TargetMode="External"/><Relationship Id="rId34" Type="http://schemas.openxmlformats.org/officeDocument/2006/relationships/hyperlink" Target="mailto:import10_test2-7@test.co.jp" TargetMode="External"/><Relationship Id="rId42" Type="http://schemas.openxmlformats.org/officeDocument/2006/relationships/hyperlink" Target="mailto:import16_test2-7@test.co.jp" TargetMode="External"/><Relationship Id="rId47" Type="http://schemas.openxmlformats.org/officeDocument/2006/relationships/hyperlink" Target="mailto:import16_test2-7@test.co.jp" TargetMode="External"/><Relationship Id="rId50" Type="http://schemas.openxmlformats.org/officeDocument/2006/relationships/hyperlink" Target="mailto:import17_test2-7@test.co.jp" TargetMode="External"/><Relationship Id="rId7" Type="http://schemas.openxmlformats.org/officeDocument/2006/relationships/hyperlink" Target="mailto:import9-2_test2-7@test.co.jp" TargetMode="External"/><Relationship Id="rId12" Type="http://schemas.openxmlformats.org/officeDocument/2006/relationships/hyperlink" Target="mailto:import14_test2-7@test.co.jp" TargetMode="External"/><Relationship Id="rId17" Type="http://schemas.openxmlformats.org/officeDocument/2006/relationships/hyperlink" Target="mailto:import21_test2-7@test.co.jp" TargetMode="External"/><Relationship Id="rId25" Type="http://schemas.openxmlformats.org/officeDocument/2006/relationships/hyperlink" Target="mailto:import28_test2-7@test.co.jp" TargetMode="External"/><Relationship Id="rId33" Type="http://schemas.openxmlformats.org/officeDocument/2006/relationships/hyperlink" Target="mailto:import8_test2-7@test.co.jp" TargetMode="External"/><Relationship Id="rId38" Type="http://schemas.openxmlformats.org/officeDocument/2006/relationships/hyperlink" Target="mailto:import13_test2-7@test.co.jp" TargetMode="External"/><Relationship Id="rId46" Type="http://schemas.openxmlformats.org/officeDocument/2006/relationships/hyperlink" Target="mailto:import17_test2-7@test.co.jp" TargetMode="External"/><Relationship Id="rId2" Type="http://schemas.openxmlformats.org/officeDocument/2006/relationships/hyperlink" Target="mailto:h.mic_test2-7@test.co.jp" TargetMode="External"/><Relationship Id="rId16" Type="http://schemas.openxmlformats.org/officeDocument/2006/relationships/hyperlink" Target="mailto:import20_test2-7@test.co.jp" TargetMode="External"/><Relationship Id="rId20" Type="http://schemas.openxmlformats.org/officeDocument/2006/relationships/hyperlink" Target="mailto:import-over7_test2-7@test.co.jp" TargetMode="External"/><Relationship Id="rId29" Type="http://schemas.openxmlformats.org/officeDocument/2006/relationships/hyperlink" Target="mailto:import4_test2-7@test.co.jp" TargetMode="External"/><Relationship Id="rId41" Type="http://schemas.openxmlformats.org/officeDocument/2006/relationships/hyperlink" Target="mailto:import13_test2-7@test.co.jp" TargetMode="External"/><Relationship Id="rId54" Type="http://schemas.openxmlformats.org/officeDocument/2006/relationships/comments" Target="../comments6.xml"/><Relationship Id="rId1" Type="http://schemas.openxmlformats.org/officeDocument/2006/relationships/hyperlink" Target="mailto:t.mic_test2-7@test.co.jp" TargetMode="External"/><Relationship Id="rId6" Type="http://schemas.openxmlformats.org/officeDocument/2006/relationships/hyperlink" Target="mailto:import9-1_test2-7@test.co.jp" TargetMode="External"/><Relationship Id="rId11" Type="http://schemas.openxmlformats.org/officeDocument/2006/relationships/hyperlink" Target="mailto:import13_test2-7@test.co.jp" TargetMode="External"/><Relationship Id="rId24" Type="http://schemas.openxmlformats.org/officeDocument/2006/relationships/hyperlink" Target="mailto:import27_test2-7@test.co.jp" TargetMode="External"/><Relationship Id="rId32" Type="http://schemas.openxmlformats.org/officeDocument/2006/relationships/hyperlink" Target="mailto:import5_test2-7@test.co.jp" TargetMode="External"/><Relationship Id="rId37" Type="http://schemas.openxmlformats.org/officeDocument/2006/relationships/hyperlink" Target="mailto:import11_test2-7@test.co.jp" TargetMode="External"/><Relationship Id="rId40" Type="http://schemas.openxmlformats.org/officeDocument/2006/relationships/hyperlink" Target="mailto:import11_test2-7@test.co.jp" TargetMode="External"/><Relationship Id="rId45" Type="http://schemas.openxmlformats.org/officeDocument/2006/relationships/hyperlink" Target="mailto:import15_test2-7@test.co.jp" TargetMode="External"/><Relationship Id="rId53" Type="http://schemas.openxmlformats.org/officeDocument/2006/relationships/vmlDrawing" Target="../drawings/vmlDrawing6.vml"/><Relationship Id="rId5" Type="http://schemas.openxmlformats.org/officeDocument/2006/relationships/hyperlink" Target="mailto:import8_test2-7@test.co.jp" TargetMode="External"/><Relationship Id="rId15" Type="http://schemas.openxmlformats.org/officeDocument/2006/relationships/hyperlink" Target="mailto:import17_test2-7@test.co.jp" TargetMode="External"/><Relationship Id="rId23" Type="http://schemas.openxmlformats.org/officeDocument/2006/relationships/hyperlink" Target="mailto:import26_test2-7@test.co.jp" TargetMode="External"/><Relationship Id="rId28" Type="http://schemas.openxmlformats.org/officeDocument/2006/relationships/hyperlink" Target="mailto:import3_test2-7@test.co.jp" TargetMode="External"/><Relationship Id="rId36" Type="http://schemas.openxmlformats.org/officeDocument/2006/relationships/hyperlink" Target="mailto:import12_test2-7@test.co.jp" TargetMode="External"/><Relationship Id="rId49" Type="http://schemas.openxmlformats.org/officeDocument/2006/relationships/hyperlink" Target="mailto:import15_test2-7@test.co.jp" TargetMode="External"/><Relationship Id="rId10" Type="http://schemas.openxmlformats.org/officeDocument/2006/relationships/hyperlink" Target="mailto:import12_test2-7@test.co.jp" TargetMode="External"/><Relationship Id="rId19" Type="http://schemas.openxmlformats.org/officeDocument/2006/relationships/hyperlink" Target="mailto:import-over1_test2-7@test.co.jp" TargetMode="External"/><Relationship Id="rId31" Type="http://schemas.openxmlformats.org/officeDocument/2006/relationships/hyperlink" Target="mailto:h.mic_test2-7@test.co.jp" TargetMode="External"/><Relationship Id="rId44" Type="http://schemas.openxmlformats.org/officeDocument/2006/relationships/hyperlink" Target="mailto:import17_test2-7@test.co.jp" TargetMode="External"/><Relationship Id="rId52" Type="http://schemas.openxmlformats.org/officeDocument/2006/relationships/drawing" Target="../drawings/drawing1.xml"/><Relationship Id="rId4" Type="http://schemas.openxmlformats.org/officeDocument/2006/relationships/hyperlink" Target="mailto:s.mic_test2-7@test.co.jp" TargetMode="External"/><Relationship Id="rId9" Type="http://schemas.openxmlformats.org/officeDocument/2006/relationships/hyperlink" Target="mailto:import11_test2-7@test.co.jp" TargetMode="External"/><Relationship Id="rId14" Type="http://schemas.openxmlformats.org/officeDocument/2006/relationships/hyperlink" Target="mailto:import16_test2-7@test.co.jp" TargetMode="External"/><Relationship Id="rId22" Type="http://schemas.openxmlformats.org/officeDocument/2006/relationships/hyperlink" Target="mailto:import25_test2-7@test.co.jp" TargetMode="External"/><Relationship Id="rId27" Type="http://schemas.openxmlformats.org/officeDocument/2006/relationships/hyperlink" Target="mailto:import2_test2-7@test.co.jp" TargetMode="External"/><Relationship Id="rId30" Type="http://schemas.openxmlformats.org/officeDocument/2006/relationships/hyperlink" Target="mailto:import6_test2-7@test.co.jp" TargetMode="External"/><Relationship Id="rId35" Type="http://schemas.openxmlformats.org/officeDocument/2006/relationships/hyperlink" Target="mailto:import9_test2-7@test.co.jp" TargetMode="External"/><Relationship Id="rId43" Type="http://schemas.openxmlformats.org/officeDocument/2006/relationships/hyperlink" Target="mailto:import15_test2-7@test.co.jp" TargetMode="External"/><Relationship Id="rId48" Type="http://schemas.openxmlformats.org/officeDocument/2006/relationships/hyperlink" Target="mailto:import16_test2-7@test.co.jp" TargetMode="External"/><Relationship Id="rId8" Type="http://schemas.openxmlformats.org/officeDocument/2006/relationships/hyperlink" Target="mailto:import10_test2-7@test.co.jp" TargetMode="External"/><Relationship Id="rId5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AL28"/>
  <sheetViews>
    <sheetView showGridLines="0" workbookViewId="0">
      <selection activeCell="Y17" sqref="Y17:Z22"/>
    </sheetView>
  </sheetViews>
  <sheetFormatPr defaultColWidth="3" defaultRowHeight="13"/>
  <cols>
    <col min="33" max="34" width="4.453125" bestFit="1" customWidth="1"/>
    <col min="37" max="37" width="7.08984375" bestFit="1" customWidth="1"/>
  </cols>
  <sheetData>
    <row r="4" spans="2:38">
      <c r="B4" s="158" t="s">
        <v>23</v>
      </c>
      <c r="C4" s="158"/>
      <c r="D4" s="158"/>
      <c r="E4" s="158"/>
      <c r="F4" s="158"/>
      <c r="G4" s="158"/>
      <c r="H4" s="161" t="s">
        <v>24</v>
      </c>
      <c r="I4" s="162"/>
      <c r="J4" s="162"/>
      <c r="K4" s="162"/>
      <c r="L4" s="163"/>
      <c r="M4" s="158"/>
      <c r="N4" s="158"/>
      <c r="O4" s="158"/>
      <c r="P4" s="158"/>
      <c r="Q4" s="158"/>
      <c r="R4" s="158"/>
      <c r="S4" s="158"/>
      <c r="T4" s="158"/>
      <c r="U4" s="161" t="s">
        <v>25</v>
      </c>
      <c r="V4" s="162"/>
      <c r="W4" s="162"/>
      <c r="X4" s="162"/>
      <c r="Y4" s="162"/>
      <c r="Z4" s="163"/>
      <c r="AA4" s="158" t="s">
        <v>26</v>
      </c>
      <c r="AB4" s="158"/>
      <c r="AF4" s="1" t="s">
        <v>35</v>
      </c>
      <c r="AH4">
        <f>SUM(J5:L28)</f>
        <v>242</v>
      </c>
      <c r="AI4" t="s">
        <v>34</v>
      </c>
    </row>
    <row r="5" spans="2:38">
      <c r="B5" s="123" t="str">
        <f ca="1">RIGHT(CELL("filename",ヒアーズミー!A2),LEN(CELL("filename",ヒアーズミー!A2))-FIND("]",CELL("filename",ヒアーズミー!A2)))</f>
        <v>ヒアーズミー</v>
      </c>
      <c r="C5" s="124"/>
      <c r="D5" s="124"/>
      <c r="E5" s="124"/>
      <c r="F5" s="124"/>
      <c r="G5" s="125"/>
      <c r="H5" s="98" t="s">
        <v>29</v>
      </c>
      <c r="I5" s="99"/>
      <c r="J5" s="132">
        <f>ヒアーズミー!$F$4</f>
        <v>50</v>
      </c>
      <c r="K5" s="133"/>
      <c r="L5" s="134"/>
      <c r="M5" s="165" t="s">
        <v>27</v>
      </c>
      <c r="N5" s="165"/>
      <c r="O5" s="165"/>
      <c r="P5" s="169" t="s">
        <v>29</v>
      </c>
      <c r="Q5" s="169"/>
      <c r="R5" s="167">
        <f>ヒアーズミー!$H$4</f>
        <v>50</v>
      </c>
      <c r="S5" s="167"/>
      <c r="T5" s="167"/>
      <c r="U5" s="98" t="s">
        <v>29</v>
      </c>
      <c r="V5" s="99"/>
      <c r="W5" s="102">
        <f>IF(J5=0,"",R5/J5)</f>
        <v>1</v>
      </c>
      <c r="X5" s="103"/>
      <c r="Y5" s="102">
        <f>SUM(R5:T7)/SUM(J5:L10)</f>
        <v>1</v>
      </c>
      <c r="Z5" s="103"/>
      <c r="AA5" s="110" t="str">
        <f>IF(Y5=100%,"完了","実施中")</f>
        <v>完了</v>
      </c>
      <c r="AB5" s="110"/>
      <c r="AF5" s="1" t="s">
        <v>36</v>
      </c>
      <c r="AG5" s="1" t="s">
        <v>37</v>
      </c>
      <c r="AH5">
        <f>SUM(R5:T7,R11:T13,R17:T19,R23:T25)</f>
        <v>242</v>
      </c>
      <c r="AI5" t="s">
        <v>34</v>
      </c>
      <c r="AK5" t="s">
        <v>39</v>
      </c>
    </row>
    <row r="6" spans="2:38">
      <c r="B6" s="126"/>
      <c r="C6" s="127"/>
      <c r="D6" s="127"/>
      <c r="E6" s="127"/>
      <c r="F6" s="127"/>
      <c r="G6" s="128"/>
      <c r="H6" s="100"/>
      <c r="I6" s="101"/>
      <c r="J6" s="135"/>
      <c r="K6" s="136"/>
      <c r="L6" s="137"/>
      <c r="M6" s="165"/>
      <c r="N6" s="165"/>
      <c r="O6" s="165"/>
      <c r="P6" s="170" t="s">
        <v>30</v>
      </c>
      <c r="Q6" s="170"/>
      <c r="R6" s="171">
        <f>ヒアーズミー!$H$5</f>
        <v>0</v>
      </c>
      <c r="S6" s="171"/>
      <c r="T6" s="171"/>
      <c r="U6" s="100"/>
      <c r="V6" s="101"/>
      <c r="W6" s="104"/>
      <c r="X6" s="105"/>
      <c r="Y6" s="106"/>
      <c r="Z6" s="107"/>
      <c r="AA6" s="110"/>
      <c r="AB6" s="110"/>
      <c r="AG6" s="1" t="s">
        <v>38</v>
      </c>
      <c r="AH6">
        <f>SUM(R8:T10,R14:T16,R20:T22,R26:T28)</f>
        <v>0</v>
      </c>
      <c r="AI6" t="s">
        <v>34</v>
      </c>
      <c r="AK6">
        <f>SUM(AH5:AH6)</f>
        <v>242</v>
      </c>
      <c r="AL6" t="s">
        <v>34</v>
      </c>
    </row>
    <row r="7" spans="2:38">
      <c r="B7" s="126"/>
      <c r="C7" s="127"/>
      <c r="D7" s="127"/>
      <c r="E7" s="127"/>
      <c r="F7" s="127"/>
      <c r="G7" s="128"/>
      <c r="H7" s="145" t="s">
        <v>30</v>
      </c>
      <c r="I7" s="146"/>
      <c r="J7" s="147">
        <f>ヒアーズミー!$F$5</f>
        <v>0</v>
      </c>
      <c r="K7" s="148"/>
      <c r="L7" s="149"/>
      <c r="M7" s="165"/>
      <c r="N7" s="165"/>
      <c r="O7" s="165"/>
      <c r="P7" s="160" t="s">
        <v>31</v>
      </c>
      <c r="Q7" s="160"/>
      <c r="R7" s="159">
        <f>ヒアーズミー!$H$6</f>
        <v>0</v>
      </c>
      <c r="S7" s="159"/>
      <c r="T7" s="159"/>
      <c r="U7" s="117" t="s">
        <v>30</v>
      </c>
      <c r="V7" s="118"/>
      <c r="W7" s="106" t="str">
        <f>IF(J7=0,"",R6/J7)</f>
        <v/>
      </c>
      <c r="X7" s="107"/>
      <c r="Y7" s="106"/>
      <c r="Z7" s="107"/>
      <c r="AA7" s="110"/>
      <c r="AB7" s="110"/>
      <c r="AK7" t="s">
        <v>40</v>
      </c>
    </row>
    <row r="8" spans="2:38">
      <c r="B8" s="126"/>
      <c r="C8" s="127"/>
      <c r="D8" s="127"/>
      <c r="E8" s="127"/>
      <c r="F8" s="127"/>
      <c r="G8" s="128"/>
      <c r="H8" s="100"/>
      <c r="I8" s="101"/>
      <c r="J8" s="135"/>
      <c r="K8" s="136"/>
      <c r="L8" s="137"/>
      <c r="M8" s="165" t="s">
        <v>28</v>
      </c>
      <c r="N8" s="165"/>
      <c r="O8" s="165"/>
      <c r="P8" s="169" t="s">
        <v>29</v>
      </c>
      <c r="Q8" s="169"/>
      <c r="R8" s="168">
        <f>ヒアーズミー!$I$4</f>
        <v>0</v>
      </c>
      <c r="S8" s="168"/>
      <c r="T8" s="168"/>
      <c r="U8" s="100"/>
      <c r="V8" s="101"/>
      <c r="W8" s="104"/>
      <c r="X8" s="105"/>
      <c r="Y8" s="106"/>
      <c r="Z8" s="107"/>
      <c r="AA8" s="110"/>
      <c r="AB8" s="110"/>
      <c r="AK8" s="2">
        <f>AH5/AH4</f>
        <v>1</v>
      </c>
    </row>
    <row r="9" spans="2:38">
      <c r="B9" s="126"/>
      <c r="C9" s="127"/>
      <c r="D9" s="127"/>
      <c r="E9" s="127"/>
      <c r="F9" s="127"/>
      <c r="G9" s="128"/>
      <c r="H9" s="117" t="s">
        <v>31</v>
      </c>
      <c r="I9" s="118"/>
      <c r="J9" s="152">
        <f>ヒアーズミー!$F$6</f>
        <v>0</v>
      </c>
      <c r="K9" s="153"/>
      <c r="L9" s="154"/>
      <c r="M9" s="165"/>
      <c r="N9" s="165"/>
      <c r="O9" s="165"/>
      <c r="P9" s="170" t="s">
        <v>30</v>
      </c>
      <c r="Q9" s="170"/>
      <c r="R9" s="166">
        <f>ヒアーズミー!$I$5</f>
        <v>0</v>
      </c>
      <c r="S9" s="166"/>
      <c r="T9" s="166"/>
      <c r="U9" s="117" t="s">
        <v>31</v>
      </c>
      <c r="V9" s="118"/>
      <c r="W9" s="121" t="str">
        <f>IF(J9=0,"",R7/J9)</f>
        <v/>
      </c>
      <c r="X9" s="121"/>
      <c r="Y9" s="106"/>
      <c r="Z9" s="107"/>
      <c r="AA9" s="110"/>
      <c r="AB9" s="110"/>
    </row>
    <row r="10" spans="2:38">
      <c r="B10" s="129"/>
      <c r="C10" s="130"/>
      <c r="D10" s="130"/>
      <c r="E10" s="130"/>
      <c r="F10" s="130"/>
      <c r="G10" s="131"/>
      <c r="H10" s="119"/>
      <c r="I10" s="120"/>
      <c r="J10" s="155"/>
      <c r="K10" s="156"/>
      <c r="L10" s="157"/>
      <c r="M10" s="165"/>
      <c r="N10" s="165"/>
      <c r="O10" s="165"/>
      <c r="P10" s="160" t="s">
        <v>31</v>
      </c>
      <c r="Q10" s="160"/>
      <c r="R10" s="164">
        <f>ヒアーズミー!$I$6</f>
        <v>0</v>
      </c>
      <c r="S10" s="164"/>
      <c r="T10" s="164"/>
      <c r="U10" s="119"/>
      <c r="V10" s="120"/>
      <c r="W10" s="122"/>
      <c r="X10" s="122"/>
      <c r="Y10" s="108"/>
      <c r="Z10" s="109"/>
      <c r="AA10" s="110"/>
      <c r="AB10" s="110"/>
    </row>
    <row r="11" spans="2:38">
      <c r="B11" s="123" t="str">
        <f ca="1">RIGHT(CELL("filename",'管理ツール（IP制限機能）'!A2),LEN(CELL("filename",'管理ツール（IP制限機能）'!A2))-FIND("]",CELL("filename",'管理ツール（IP制限機能）'!A2)))</f>
        <v>管理ツール（IP制限機能）</v>
      </c>
      <c r="C11" s="124"/>
      <c r="D11" s="124"/>
      <c r="E11" s="124"/>
      <c r="F11" s="124"/>
      <c r="G11" s="125"/>
      <c r="H11" s="98" t="s">
        <v>29</v>
      </c>
      <c r="I11" s="99"/>
      <c r="J11" s="132">
        <f>'管理ツール（IP制限機能）'!$F$4</f>
        <v>103</v>
      </c>
      <c r="K11" s="133"/>
      <c r="L11" s="134"/>
      <c r="M11" s="98" t="s">
        <v>27</v>
      </c>
      <c r="N11" s="138"/>
      <c r="O11" s="99"/>
      <c r="P11" s="141" t="s">
        <v>29</v>
      </c>
      <c r="Q11" s="142"/>
      <c r="R11" s="95">
        <f>'管理ツール（IP制限機能）'!H4</f>
        <v>103</v>
      </c>
      <c r="S11" s="96"/>
      <c r="T11" s="97"/>
      <c r="U11" s="98" t="s">
        <v>29</v>
      </c>
      <c r="V11" s="99"/>
      <c r="W11" s="102">
        <f>IF(J11=0,"",R11/J11)</f>
        <v>1</v>
      </c>
      <c r="X11" s="103"/>
      <c r="Y11" s="102">
        <f>SUM(R11:T13)/SUM(J11:L16)</f>
        <v>1</v>
      </c>
      <c r="Z11" s="103"/>
      <c r="AA11" s="110" t="str">
        <f>IF(Y11=100%,"完了","実施中")</f>
        <v>完了</v>
      </c>
      <c r="AB11" s="110"/>
    </row>
    <row r="12" spans="2:38">
      <c r="B12" s="126"/>
      <c r="C12" s="127"/>
      <c r="D12" s="127"/>
      <c r="E12" s="127"/>
      <c r="F12" s="127"/>
      <c r="G12" s="128"/>
      <c r="H12" s="100"/>
      <c r="I12" s="101"/>
      <c r="J12" s="135"/>
      <c r="K12" s="136"/>
      <c r="L12" s="137"/>
      <c r="M12" s="117"/>
      <c r="N12" s="139"/>
      <c r="O12" s="118"/>
      <c r="P12" s="143" t="s">
        <v>30</v>
      </c>
      <c r="Q12" s="144"/>
      <c r="R12" s="111">
        <f>'管理ツール（IP制限機能）'!H5</f>
        <v>0</v>
      </c>
      <c r="S12" s="112"/>
      <c r="T12" s="113"/>
      <c r="U12" s="100"/>
      <c r="V12" s="101"/>
      <c r="W12" s="104"/>
      <c r="X12" s="105"/>
      <c r="Y12" s="106"/>
      <c r="Z12" s="107"/>
      <c r="AA12" s="110"/>
      <c r="AB12" s="110"/>
    </row>
    <row r="13" spans="2:38">
      <c r="B13" s="126"/>
      <c r="C13" s="127"/>
      <c r="D13" s="127"/>
      <c r="E13" s="127"/>
      <c r="F13" s="127"/>
      <c r="G13" s="128"/>
      <c r="H13" s="145" t="s">
        <v>30</v>
      </c>
      <c r="I13" s="146"/>
      <c r="J13" s="147">
        <f>'管理ツール（IP制限機能）'!$F$5</f>
        <v>0</v>
      </c>
      <c r="K13" s="148"/>
      <c r="L13" s="149"/>
      <c r="M13" s="119"/>
      <c r="N13" s="140"/>
      <c r="O13" s="120"/>
      <c r="P13" s="150" t="s">
        <v>31</v>
      </c>
      <c r="Q13" s="151"/>
      <c r="R13" s="114">
        <f>'管理ツール（IP制限機能）'!H6</f>
        <v>0</v>
      </c>
      <c r="S13" s="115"/>
      <c r="T13" s="116"/>
      <c r="U13" s="117" t="s">
        <v>30</v>
      </c>
      <c r="V13" s="118"/>
      <c r="W13" s="106" t="str">
        <f>IF(J13=0,"",R12/J13)</f>
        <v/>
      </c>
      <c r="X13" s="107"/>
      <c r="Y13" s="106"/>
      <c r="Z13" s="107"/>
      <c r="AA13" s="110"/>
      <c r="AB13" s="110"/>
    </row>
    <row r="14" spans="2:38">
      <c r="B14" s="126"/>
      <c r="C14" s="127"/>
      <c r="D14" s="127"/>
      <c r="E14" s="127"/>
      <c r="F14" s="127"/>
      <c r="G14" s="128"/>
      <c r="H14" s="100"/>
      <c r="I14" s="101"/>
      <c r="J14" s="135"/>
      <c r="K14" s="136"/>
      <c r="L14" s="137"/>
      <c r="M14" s="98" t="s">
        <v>28</v>
      </c>
      <c r="N14" s="138"/>
      <c r="O14" s="99"/>
      <c r="P14" s="141" t="s">
        <v>29</v>
      </c>
      <c r="Q14" s="142"/>
      <c r="R14" s="95">
        <f>'管理ツール（IP制限機能）'!I4</f>
        <v>0</v>
      </c>
      <c r="S14" s="96"/>
      <c r="T14" s="97"/>
      <c r="U14" s="100"/>
      <c r="V14" s="101"/>
      <c r="W14" s="104"/>
      <c r="X14" s="105"/>
      <c r="Y14" s="106"/>
      <c r="Z14" s="107"/>
      <c r="AA14" s="110"/>
      <c r="AB14" s="110"/>
    </row>
    <row r="15" spans="2:38">
      <c r="B15" s="126"/>
      <c r="C15" s="127"/>
      <c r="D15" s="127"/>
      <c r="E15" s="127"/>
      <c r="F15" s="127"/>
      <c r="G15" s="128"/>
      <c r="H15" s="145" t="s">
        <v>31</v>
      </c>
      <c r="I15" s="146"/>
      <c r="J15" s="152">
        <f>'管理ツール（IP制限機能）'!$F$6</f>
        <v>0</v>
      </c>
      <c r="K15" s="153"/>
      <c r="L15" s="154"/>
      <c r="M15" s="117"/>
      <c r="N15" s="139"/>
      <c r="O15" s="118"/>
      <c r="P15" s="143" t="s">
        <v>30</v>
      </c>
      <c r="Q15" s="144"/>
      <c r="R15" s="111">
        <f>'管理ツール（IP制限機能）'!I5</f>
        <v>0</v>
      </c>
      <c r="S15" s="112"/>
      <c r="T15" s="113"/>
      <c r="U15" s="117" t="s">
        <v>31</v>
      </c>
      <c r="V15" s="118"/>
      <c r="W15" s="121" t="str">
        <f>IF(J15=0,"",R13/J15)</f>
        <v/>
      </c>
      <c r="X15" s="121"/>
      <c r="Y15" s="106"/>
      <c r="Z15" s="107"/>
      <c r="AA15" s="110"/>
      <c r="AB15" s="110"/>
    </row>
    <row r="16" spans="2:38">
      <c r="B16" s="129"/>
      <c r="C16" s="130"/>
      <c r="D16" s="130"/>
      <c r="E16" s="130"/>
      <c r="F16" s="130"/>
      <c r="G16" s="131"/>
      <c r="H16" s="119"/>
      <c r="I16" s="120"/>
      <c r="J16" s="155"/>
      <c r="K16" s="156"/>
      <c r="L16" s="157"/>
      <c r="M16" s="119"/>
      <c r="N16" s="140"/>
      <c r="O16" s="120"/>
      <c r="P16" s="150" t="s">
        <v>31</v>
      </c>
      <c r="Q16" s="151"/>
      <c r="R16" s="114">
        <f>'管理ツール（IP制限機能）'!I6</f>
        <v>0</v>
      </c>
      <c r="S16" s="115"/>
      <c r="T16" s="116"/>
      <c r="U16" s="119"/>
      <c r="V16" s="120"/>
      <c r="W16" s="122"/>
      <c r="X16" s="122"/>
      <c r="Y16" s="108"/>
      <c r="Z16" s="109"/>
      <c r="AA16" s="110"/>
      <c r="AB16" s="110"/>
    </row>
    <row r="17" spans="2:28">
      <c r="B17" s="123" t="str">
        <f ca="1">RIGHT(CELL("filename",'管理ツール（ユーザ一括登録）'!A8),LEN(CELL("filename",'管理ツール（ユーザ一括登録）'!A8))-FIND("]",CELL("filename",'管理ツール（ユーザ一括登録）'!A8)))</f>
        <v>管理ツール（ユーザ一括登録）</v>
      </c>
      <c r="C17" s="124"/>
      <c r="D17" s="124"/>
      <c r="E17" s="124"/>
      <c r="F17" s="124"/>
      <c r="G17" s="125"/>
      <c r="H17" s="98" t="s">
        <v>29</v>
      </c>
      <c r="I17" s="99"/>
      <c r="J17" s="132">
        <f>'管理ツール（ユーザ一括登録）'!$F$4</f>
        <v>81</v>
      </c>
      <c r="K17" s="133"/>
      <c r="L17" s="134"/>
      <c r="M17" s="98" t="s">
        <v>27</v>
      </c>
      <c r="N17" s="138"/>
      <c r="O17" s="99"/>
      <c r="P17" s="141" t="s">
        <v>29</v>
      </c>
      <c r="Q17" s="142"/>
      <c r="R17" s="95">
        <f>'管理ツール（ユーザ一括登録）'!$H$4</f>
        <v>81</v>
      </c>
      <c r="S17" s="96"/>
      <c r="T17" s="97"/>
      <c r="U17" s="98" t="s">
        <v>29</v>
      </c>
      <c r="V17" s="99"/>
      <c r="W17" s="102">
        <f>IF(J17=0,"",R17/J17)</f>
        <v>1</v>
      </c>
      <c r="X17" s="103"/>
      <c r="Y17" s="102">
        <f>SUM(R17:T19)/SUM(J17:L22)</f>
        <v>1</v>
      </c>
      <c r="Z17" s="103"/>
      <c r="AA17" s="110" t="str">
        <f>IF(Y17=100%,"完了","実施中")</f>
        <v>完了</v>
      </c>
      <c r="AB17" s="110"/>
    </row>
    <row r="18" spans="2:28">
      <c r="B18" s="126"/>
      <c r="C18" s="127"/>
      <c r="D18" s="127"/>
      <c r="E18" s="127"/>
      <c r="F18" s="127"/>
      <c r="G18" s="128"/>
      <c r="H18" s="100"/>
      <c r="I18" s="101"/>
      <c r="J18" s="135"/>
      <c r="K18" s="136"/>
      <c r="L18" s="137"/>
      <c r="M18" s="117"/>
      <c r="N18" s="139"/>
      <c r="O18" s="118"/>
      <c r="P18" s="143" t="s">
        <v>30</v>
      </c>
      <c r="Q18" s="144"/>
      <c r="R18" s="111">
        <f>'管理ツール（ユーザ一括登録）'!$H$5</f>
        <v>0</v>
      </c>
      <c r="S18" s="112"/>
      <c r="T18" s="113"/>
      <c r="U18" s="100"/>
      <c r="V18" s="101"/>
      <c r="W18" s="104"/>
      <c r="X18" s="105"/>
      <c r="Y18" s="106"/>
      <c r="Z18" s="107"/>
      <c r="AA18" s="110"/>
      <c r="AB18" s="110"/>
    </row>
    <row r="19" spans="2:28">
      <c r="B19" s="126"/>
      <c r="C19" s="127"/>
      <c r="D19" s="127"/>
      <c r="E19" s="127"/>
      <c r="F19" s="127"/>
      <c r="G19" s="128"/>
      <c r="H19" s="145" t="s">
        <v>30</v>
      </c>
      <c r="I19" s="146"/>
      <c r="J19" s="147">
        <f>'管理ツール（ユーザ一括登録）'!$F$5</f>
        <v>0</v>
      </c>
      <c r="K19" s="148"/>
      <c r="L19" s="149"/>
      <c r="M19" s="119"/>
      <c r="N19" s="140"/>
      <c r="O19" s="120"/>
      <c r="P19" s="150" t="s">
        <v>31</v>
      </c>
      <c r="Q19" s="151"/>
      <c r="R19" s="114">
        <f>'管理ツール（ユーザ一括登録）'!$H$6</f>
        <v>0</v>
      </c>
      <c r="S19" s="115"/>
      <c r="T19" s="116"/>
      <c r="U19" s="117" t="s">
        <v>30</v>
      </c>
      <c r="V19" s="118"/>
      <c r="W19" s="106" t="str">
        <f>IF(J19=0,"",R18/J19)</f>
        <v/>
      </c>
      <c r="X19" s="107"/>
      <c r="Y19" s="106"/>
      <c r="Z19" s="107"/>
      <c r="AA19" s="110"/>
      <c r="AB19" s="110"/>
    </row>
    <row r="20" spans="2:28">
      <c r="B20" s="126"/>
      <c r="C20" s="127"/>
      <c r="D20" s="127"/>
      <c r="E20" s="127"/>
      <c r="F20" s="127"/>
      <c r="G20" s="128"/>
      <c r="H20" s="100"/>
      <c r="I20" s="101"/>
      <c r="J20" s="135"/>
      <c r="K20" s="136"/>
      <c r="L20" s="137"/>
      <c r="M20" s="98" t="s">
        <v>28</v>
      </c>
      <c r="N20" s="138"/>
      <c r="O20" s="99"/>
      <c r="P20" s="141" t="s">
        <v>29</v>
      </c>
      <c r="Q20" s="142"/>
      <c r="R20" s="95">
        <f>'管理ツール（ユーザ一括登録）'!$I$4</f>
        <v>0</v>
      </c>
      <c r="S20" s="96"/>
      <c r="T20" s="97"/>
      <c r="U20" s="100"/>
      <c r="V20" s="101"/>
      <c r="W20" s="104"/>
      <c r="X20" s="105"/>
      <c r="Y20" s="106"/>
      <c r="Z20" s="107"/>
      <c r="AA20" s="110"/>
      <c r="AB20" s="110"/>
    </row>
    <row r="21" spans="2:28">
      <c r="B21" s="126"/>
      <c r="C21" s="127"/>
      <c r="D21" s="127"/>
      <c r="E21" s="127"/>
      <c r="F21" s="127"/>
      <c r="G21" s="128"/>
      <c r="H21" s="145" t="s">
        <v>31</v>
      </c>
      <c r="I21" s="146"/>
      <c r="J21" s="152">
        <f>'管理ツール（ユーザ一括登録）'!$F$6</f>
        <v>0</v>
      </c>
      <c r="K21" s="153"/>
      <c r="L21" s="154"/>
      <c r="M21" s="117"/>
      <c r="N21" s="139"/>
      <c r="O21" s="118"/>
      <c r="P21" s="143" t="s">
        <v>30</v>
      </c>
      <c r="Q21" s="144"/>
      <c r="R21" s="111">
        <f>'管理ツール（ユーザ一括登録）'!$I$5</f>
        <v>0</v>
      </c>
      <c r="S21" s="112"/>
      <c r="T21" s="113"/>
      <c r="U21" s="117" t="s">
        <v>31</v>
      </c>
      <c r="V21" s="118"/>
      <c r="W21" s="121" t="str">
        <f>IF(J21=0,"",R19/J21)</f>
        <v/>
      </c>
      <c r="X21" s="121"/>
      <c r="Y21" s="106"/>
      <c r="Z21" s="107"/>
      <c r="AA21" s="110"/>
      <c r="AB21" s="110"/>
    </row>
    <row r="22" spans="2:28">
      <c r="B22" s="129"/>
      <c r="C22" s="130"/>
      <c r="D22" s="130"/>
      <c r="E22" s="130"/>
      <c r="F22" s="130"/>
      <c r="G22" s="131"/>
      <c r="H22" s="119"/>
      <c r="I22" s="120"/>
      <c r="J22" s="155"/>
      <c r="K22" s="156"/>
      <c r="L22" s="157"/>
      <c r="M22" s="119"/>
      <c r="N22" s="140"/>
      <c r="O22" s="120"/>
      <c r="P22" s="150" t="s">
        <v>31</v>
      </c>
      <c r="Q22" s="151"/>
      <c r="R22" s="114">
        <f>'管理ツール（ユーザ一括登録）'!$I$6</f>
        <v>0</v>
      </c>
      <c r="S22" s="115"/>
      <c r="T22" s="116"/>
      <c r="U22" s="119"/>
      <c r="V22" s="120"/>
      <c r="W22" s="122"/>
      <c r="X22" s="122"/>
      <c r="Y22" s="108"/>
      <c r="Z22" s="109"/>
      <c r="AA22" s="110"/>
      <c r="AB22" s="110"/>
    </row>
    <row r="23" spans="2:28">
      <c r="B23" s="123" t="str">
        <f ca="1">RIGHT(CELL("filename",アカウント作成ツール!A14),LEN(CELL("filename",アカウント作成ツール!A14))-FIND("]",CELL("filename",アカウント作成ツール!A14)))</f>
        <v>アカウント作成ツール</v>
      </c>
      <c r="C23" s="124"/>
      <c r="D23" s="124"/>
      <c r="E23" s="124"/>
      <c r="F23" s="124"/>
      <c r="G23" s="125"/>
      <c r="H23" s="98" t="s">
        <v>29</v>
      </c>
      <c r="I23" s="99"/>
      <c r="J23" s="132">
        <f>アカウント作成ツール!$F$4</f>
        <v>8</v>
      </c>
      <c r="K23" s="133"/>
      <c r="L23" s="134"/>
      <c r="M23" s="98" t="s">
        <v>27</v>
      </c>
      <c r="N23" s="138"/>
      <c r="O23" s="99"/>
      <c r="P23" s="141" t="s">
        <v>29</v>
      </c>
      <c r="Q23" s="142"/>
      <c r="R23" s="95">
        <f>アカウント作成ツール!$H$4</f>
        <v>8</v>
      </c>
      <c r="S23" s="96"/>
      <c r="T23" s="97"/>
      <c r="U23" s="98" t="s">
        <v>29</v>
      </c>
      <c r="V23" s="99"/>
      <c r="W23" s="102">
        <f>IF(J23=0,"",R23/J23)</f>
        <v>1</v>
      </c>
      <c r="X23" s="103"/>
      <c r="Y23" s="102">
        <f>SUM(R23:T25)/SUM(J23:L28)</f>
        <v>1</v>
      </c>
      <c r="Z23" s="103"/>
      <c r="AA23" s="110" t="str">
        <f>IF(Y23=100%,"完了","実施中")</f>
        <v>完了</v>
      </c>
      <c r="AB23" s="110"/>
    </row>
    <row r="24" spans="2:28">
      <c r="B24" s="126"/>
      <c r="C24" s="127"/>
      <c r="D24" s="127"/>
      <c r="E24" s="127"/>
      <c r="F24" s="127"/>
      <c r="G24" s="128"/>
      <c r="H24" s="100"/>
      <c r="I24" s="101"/>
      <c r="J24" s="135"/>
      <c r="K24" s="136"/>
      <c r="L24" s="137"/>
      <c r="M24" s="117"/>
      <c r="N24" s="139"/>
      <c r="O24" s="118"/>
      <c r="P24" s="143" t="s">
        <v>30</v>
      </c>
      <c r="Q24" s="144"/>
      <c r="R24" s="111">
        <f>アカウント作成ツール!$H$5</f>
        <v>0</v>
      </c>
      <c r="S24" s="112"/>
      <c r="T24" s="113"/>
      <c r="U24" s="100"/>
      <c r="V24" s="101"/>
      <c r="W24" s="104"/>
      <c r="X24" s="105"/>
      <c r="Y24" s="106"/>
      <c r="Z24" s="107"/>
      <c r="AA24" s="110"/>
      <c r="AB24" s="110"/>
    </row>
    <row r="25" spans="2:28">
      <c r="B25" s="126"/>
      <c r="C25" s="127"/>
      <c r="D25" s="127"/>
      <c r="E25" s="127"/>
      <c r="F25" s="127"/>
      <c r="G25" s="128"/>
      <c r="H25" s="145" t="s">
        <v>30</v>
      </c>
      <c r="I25" s="146"/>
      <c r="J25" s="147">
        <f>アカウント作成ツール!$F$5</f>
        <v>0</v>
      </c>
      <c r="K25" s="148"/>
      <c r="L25" s="149"/>
      <c r="M25" s="119"/>
      <c r="N25" s="140"/>
      <c r="O25" s="120"/>
      <c r="P25" s="150" t="s">
        <v>31</v>
      </c>
      <c r="Q25" s="151"/>
      <c r="R25" s="114">
        <f>アカウント作成ツール!$H$6</f>
        <v>0</v>
      </c>
      <c r="S25" s="115"/>
      <c r="T25" s="116"/>
      <c r="U25" s="117" t="s">
        <v>30</v>
      </c>
      <c r="V25" s="118"/>
      <c r="W25" s="106" t="str">
        <f>IF(J25=0,"",R24/J25)</f>
        <v/>
      </c>
      <c r="X25" s="107"/>
      <c r="Y25" s="106"/>
      <c r="Z25" s="107"/>
      <c r="AA25" s="110"/>
      <c r="AB25" s="110"/>
    </row>
    <row r="26" spans="2:28">
      <c r="B26" s="126"/>
      <c r="C26" s="127"/>
      <c r="D26" s="127"/>
      <c r="E26" s="127"/>
      <c r="F26" s="127"/>
      <c r="G26" s="128"/>
      <c r="H26" s="100"/>
      <c r="I26" s="101"/>
      <c r="J26" s="135"/>
      <c r="K26" s="136"/>
      <c r="L26" s="137"/>
      <c r="M26" s="98" t="s">
        <v>28</v>
      </c>
      <c r="N26" s="138"/>
      <c r="O26" s="99"/>
      <c r="P26" s="141" t="s">
        <v>29</v>
      </c>
      <c r="Q26" s="142"/>
      <c r="R26" s="95">
        <f>アカウント作成ツール!$I$4</f>
        <v>0</v>
      </c>
      <c r="S26" s="96"/>
      <c r="T26" s="97"/>
      <c r="U26" s="100"/>
      <c r="V26" s="101"/>
      <c r="W26" s="104"/>
      <c r="X26" s="105"/>
      <c r="Y26" s="106"/>
      <c r="Z26" s="107"/>
      <c r="AA26" s="110"/>
      <c r="AB26" s="110"/>
    </row>
    <row r="27" spans="2:28">
      <c r="B27" s="126"/>
      <c r="C27" s="127"/>
      <c r="D27" s="127"/>
      <c r="E27" s="127"/>
      <c r="F27" s="127"/>
      <c r="G27" s="128"/>
      <c r="H27" s="145" t="s">
        <v>31</v>
      </c>
      <c r="I27" s="146"/>
      <c r="J27" s="152">
        <f>アカウント作成ツール!$F$6</f>
        <v>0</v>
      </c>
      <c r="K27" s="153"/>
      <c r="L27" s="154"/>
      <c r="M27" s="117"/>
      <c r="N27" s="139"/>
      <c r="O27" s="118"/>
      <c r="P27" s="143" t="s">
        <v>30</v>
      </c>
      <c r="Q27" s="144"/>
      <c r="R27" s="111">
        <f>アカウント作成ツール!$I$5</f>
        <v>0</v>
      </c>
      <c r="S27" s="112"/>
      <c r="T27" s="113"/>
      <c r="U27" s="117" t="s">
        <v>31</v>
      </c>
      <c r="V27" s="118"/>
      <c r="W27" s="121" t="str">
        <f>IF(J27=0,"",R25/J27)</f>
        <v/>
      </c>
      <c r="X27" s="121"/>
      <c r="Y27" s="106"/>
      <c r="Z27" s="107"/>
      <c r="AA27" s="110"/>
      <c r="AB27" s="110"/>
    </row>
    <row r="28" spans="2:28">
      <c r="B28" s="129"/>
      <c r="C28" s="130"/>
      <c r="D28" s="130"/>
      <c r="E28" s="130"/>
      <c r="F28" s="130"/>
      <c r="G28" s="131"/>
      <c r="H28" s="119"/>
      <c r="I28" s="120"/>
      <c r="J28" s="155"/>
      <c r="K28" s="156"/>
      <c r="L28" s="157"/>
      <c r="M28" s="119"/>
      <c r="N28" s="140"/>
      <c r="O28" s="120"/>
      <c r="P28" s="150" t="s">
        <v>31</v>
      </c>
      <c r="Q28" s="151"/>
      <c r="R28" s="114">
        <f>アカウント作成ツール!$I$6</f>
        <v>0</v>
      </c>
      <c r="S28" s="115"/>
      <c r="T28" s="116"/>
      <c r="U28" s="119"/>
      <c r="V28" s="120"/>
      <c r="W28" s="122"/>
      <c r="X28" s="122"/>
      <c r="Y28" s="108"/>
      <c r="Z28" s="109"/>
      <c r="AA28" s="110"/>
      <c r="AB28" s="110"/>
    </row>
  </sheetData>
  <mergeCells count="121">
    <mergeCell ref="R11:T11"/>
    <mergeCell ref="U11:V12"/>
    <mergeCell ref="W11:X12"/>
    <mergeCell ref="Y11:Z16"/>
    <mergeCell ref="AA11:AB16"/>
    <mergeCell ref="R12:T12"/>
    <mergeCell ref="R13:T13"/>
    <mergeCell ref="U13:V14"/>
    <mergeCell ref="W13:X14"/>
    <mergeCell ref="R14:T14"/>
    <mergeCell ref="R15:T15"/>
    <mergeCell ref="U15:V16"/>
    <mergeCell ref="W15:X16"/>
    <mergeCell ref="R16:T16"/>
    <mergeCell ref="B11:G16"/>
    <mergeCell ref="H11:I12"/>
    <mergeCell ref="J11:L12"/>
    <mergeCell ref="M11:O13"/>
    <mergeCell ref="P11:Q11"/>
    <mergeCell ref="P12:Q12"/>
    <mergeCell ref="H13:I14"/>
    <mergeCell ref="J13:L14"/>
    <mergeCell ref="P13:Q13"/>
    <mergeCell ref="M14:O16"/>
    <mergeCell ref="P14:Q14"/>
    <mergeCell ref="H15:I16"/>
    <mergeCell ref="J15:L16"/>
    <mergeCell ref="P15:Q15"/>
    <mergeCell ref="P16:Q16"/>
    <mergeCell ref="B4:G4"/>
    <mergeCell ref="M4:T4"/>
    <mergeCell ref="M8:O10"/>
    <mergeCell ref="R9:T9"/>
    <mergeCell ref="R5:T5"/>
    <mergeCell ref="R8:T8"/>
    <mergeCell ref="H5:I6"/>
    <mergeCell ref="H7:I8"/>
    <mergeCell ref="H9:I10"/>
    <mergeCell ref="M5:O7"/>
    <mergeCell ref="P5:Q5"/>
    <mergeCell ref="P6:Q6"/>
    <mergeCell ref="R6:T6"/>
    <mergeCell ref="P8:Q8"/>
    <mergeCell ref="P9:Q9"/>
    <mergeCell ref="P10:Q10"/>
    <mergeCell ref="B5:G10"/>
    <mergeCell ref="AA4:AB4"/>
    <mergeCell ref="J7:L8"/>
    <mergeCell ref="R7:T7"/>
    <mergeCell ref="P7:Q7"/>
    <mergeCell ref="H4:L4"/>
    <mergeCell ref="AA5:AB10"/>
    <mergeCell ref="R10:T10"/>
    <mergeCell ref="J5:L6"/>
    <mergeCell ref="J9:L10"/>
    <mergeCell ref="U4:Z4"/>
    <mergeCell ref="U5:V6"/>
    <mergeCell ref="U9:V10"/>
    <mergeCell ref="Y5:Z10"/>
    <mergeCell ref="W5:X6"/>
    <mergeCell ref="W7:X8"/>
    <mergeCell ref="W9:X10"/>
    <mergeCell ref="U7:V8"/>
    <mergeCell ref="B17:G22"/>
    <mergeCell ref="H17:I18"/>
    <mergeCell ref="J17:L18"/>
    <mergeCell ref="M17:O19"/>
    <mergeCell ref="P17:Q17"/>
    <mergeCell ref="P18:Q18"/>
    <mergeCell ref="H19:I20"/>
    <mergeCell ref="J19:L20"/>
    <mergeCell ref="P19:Q19"/>
    <mergeCell ref="M20:O22"/>
    <mergeCell ref="P20:Q20"/>
    <mergeCell ref="H21:I22"/>
    <mergeCell ref="J21:L22"/>
    <mergeCell ref="P21:Q21"/>
    <mergeCell ref="P22:Q22"/>
    <mergeCell ref="R17:T17"/>
    <mergeCell ref="U17:V18"/>
    <mergeCell ref="W17:X18"/>
    <mergeCell ref="Y17:Z22"/>
    <mergeCell ref="AA17:AB22"/>
    <mergeCell ref="R18:T18"/>
    <mergeCell ref="R19:T19"/>
    <mergeCell ref="U19:V20"/>
    <mergeCell ref="W19:X20"/>
    <mergeCell ref="R20:T20"/>
    <mergeCell ref="R21:T21"/>
    <mergeCell ref="U21:V22"/>
    <mergeCell ref="W21:X22"/>
    <mergeCell ref="R22:T22"/>
    <mergeCell ref="B23:G28"/>
    <mergeCell ref="H23:I24"/>
    <mergeCell ref="J23:L24"/>
    <mergeCell ref="M23:O25"/>
    <mergeCell ref="P23:Q23"/>
    <mergeCell ref="P24:Q24"/>
    <mergeCell ref="H25:I26"/>
    <mergeCell ref="J25:L26"/>
    <mergeCell ref="P25:Q25"/>
    <mergeCell ref="M26:O28"/>
    <mergeCell ref="P26:Q26"/>
    <mergeCell ref="H27:I28"/>
    <mergeCell ref="J27:L28"/>
    <mergeCell ref="P27:Q27"/>
    <mergeCell ref="P28:Q28"/>
    <mergeCell ref="R23:T23"/>
    <mergeCell ref="U23:V24"/>
    <mergeCell ref="W23:X24"/>
    <mergeCell ref="Y23:Z28"/>
    <mergeCell ref="AA23:AB28"/>
    <mergeCell ref="R24:T24"/>
    <mergeCell ref="R25:T25"/>
    <mergeCell ref="U25:V26"/>
    <mergeCell ref="W25:X26"/>
    <mergeCell ref="R26:T26"/>
    <mergeCell ref="R27:T27"/>
    <mergeCell ref="U27:V28"/>
    <mergeCell ref="W27:X28"/>
    <mergeCell ref="R28:T28"/>
  </mergeCells>
  <phoneticPr fontId="5"/>
  <conditionalFormatting sqref="W5 AA5">
    <cfRule type="expression" dxfId="1255" priority="40">
      <formula>IF(W5="未着手",1,0)</formula>
    </cfRule>
  </conditionalFormatting>
  <conditionalFormatting sqref="Y5">
    <cfRule type="expression" dxfId="1254" priority="27">
      <formula>IF(Y5="未着手",1,0)</formula>
    </cfRule>
  </conditionalFormatting>
  <conditionalFormatting sqref="W7">
    <cfRule type="expression" dxfId="1253" priority="29">
      <formula>IF(W7="未着手",1,0)</formula>
    </cfRule>
  </conditionalFormatting>
  <conditionalFormatting sqref="W9">
    <cfRule type="expression" dxfId="1252" priority="28">
      <formula>IF(W9="未着手",1,0)</formula>
    </cfRule>
  </conditionalFormatting>
  <conditionalFormatting sqref="W11 AA11">
    <cfRule type="expression" dxfId="1251" priority="16">
      <formula>IF(W11="未着手",1,0)</formula>
    </cfRule>
  </conditionalFormatting>
  <conditionalFormatting sqref="Y11">
    <cfRule type="expression" dxfId="1250" priority="13">
      <formula>IF(Y11="未着手",1,0)</formula>
    </cfRule>
  </conditionalFormatting>
  <conditionalFormatting sqref="W13">
    <cfRule type="expression" dxfId="1249" priority="15">
      <formula>IF(W13="未着手",1,0)</formula>
    </cfRule>
  </conditionalFormatting>
  <conditionalFormatting sqref="W15">
    <cfRule type="expression" dxfId="1248" priority="14">
      <formula>IF(W15="未着手",1,0)</formula>
    </cfRule>
  </conditionalFormatting>
  <conditionalFormatting sqref="W17 AA17">
    <cfRule type="expression" dxfId="1247" priority="8">
      <formula>IF(W17="未着手",1,0)</formula>
    </cfRule>
  </conditionalFormatting>
  <conditionalFormatting sqref="Y17">
    <cfRule type="expression" dxfId="1246" priority="5">
      <formula>IF(Y17="未着手",1,0)</formula>
    </cfRule>
  </conditionalFormatting>
  <conditionalFormatting sqref="W19">
    <cfRule type="expression" dxfId="1245" priority="7">
      <formula>IF(W19="未着手",1,0)</formula>
    </cfRule>
  </conditionalFormatting>
  <conditionalFormatting sqref="W21">
    <cfRule type="expression" dxfId="1244" priority="6">
      <formula>IF(W21="未着手",1,0)</formula>
    </cfRule>
  </conditionalFormatting>
  <conditionalFormatting sqref="W23 AA23">
    <cfRule type="expression" dxfId="1243" priority="4">
      <formula>IF(W23="未着手",1,0)</formula>
    </cfRule>
  </conditionalFormatting>
  <conditionalFormatting sqref="Y23">
    <cfRule type="expression" dxfId="1242" priority="1">
      <formula>IF(Y23="未着手",1,0)</formula>
    </cfRule>
  </conditionalFormatting>
  <conditionalFormatting sqref="W25">
    <cfRule type="expression" dxfId="1241" priority="3">
      <formula>IF(W25="未着手",1,0)</formula>
    </cfRule>
  </conditionalFormatting>
  <conditionalFormatting sqref="W27">
    <cfRule type="expression" dxfId="1240" priority="2">
      <formula>IF(W27="未着手",1,0)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B67"/>
  <sheetViews>
    <sheetView showGridLines="0" zoomScale="85" zoomScaleNormal="85" workbookViewId="0">
      <pane xSplit="6" ySplit="10" topLeftCell="G40" activePane="bottomRight" state="frozen"/>
      <selection pane="topRight" activeCell="G1" sqref="G1"/>
      <selection pane="bottomLeft" activeCell="A11" sqref="A11"/>
      <selection pane="bottomRight" activeCell="E76" sqref="E76"/>
    </sheetView>
  </sheetViews>
  <sheetFormatPr defaultColWidth="9" defaultRowHeight="13"/>
  <cols>
    <col min="1" max="1" width="3.453125" style="4" customWidth="1"/>
    <col min="2" max="2" width="10.90625" style="4" customWidth="1"/>
    <col min="3" max="3" width="30" style="4" customWidth="1"/>
    <col min="4" max="5" width="49.36328125" style="4" customWidth="1"/>
    <col min="6" max="6" width="6" style="4" customWidth="1"/>
    <col min="7" max="15" width="7.453125" style="5" customWidth="1"/>
    <col min="16" max="21" width="7.453125" style="5" hidden="1" customWidth="1"/>
    <col min="22" max="27" width="7.453125" style="5" customWidth="1"/>
    <col min="28" max="16384" width="9" style="4"/>
  </cols>
  <sheetData>
    <row r="1" spans="2:28" ht="13.5" thickBot="1">
      <c r="AB1" s="6">
        <f>SUM(H4,K4,N4,Q4,T4)</f>
        <v>50</v>
      </c>
    </row>
    <row r="2" spans="2:28" ht="18.75" customHeight="1">
      <c r="B2" s="7" t="s">
        <v>10</v>
      </c>
      <c r="C2" s="8" t="s">
        <v>557</v>
      </c>
      <c r="D2" s="4" t="s">
        <v>556</v>
      </c>
      <c r="E2" s="9"/>
      <c r="J2" s="5" t="s">
        <v>42</v>
      </c>
      <c r="K2" s="5">
        <f>COUNTIF(J:J,"★")</f>
        <v>0</v>
      </c>
      <c r="M2" s="5" t="s">
        <v>42</v>
      </c>
      <c r="N2" s="5">
        <f>COUNTIF(M:M,"★")</f>
        <v>0</v>
      </c>
      <c r="P2" s="10"/>
      <c r="S2" s="5" t="s">
        <v>42</v>
      </c>
      <c r="T2" s="5">
        <f>COUNTIF(S:S,"★")</f>
        <v>0</v>
      </c>
      <c r="V2" s="5" t="s">
        <v>42</v>
      </c>
      <c r="W2" s="5">
        <f>COUNTIF(V:V,"★")</f>
        <v>0</v>
      </c>
      <c r="Y2" s="5" t="s">
        <v>42</v>
      </c>
      <c r="Z2" s="5">
        <f>COUNTIF(Y:Y,"★")</f>
        <v>0</v>
      </c>
      <c r="AB2" s="6">
        <f>SUM(H5,K5,N5,Q5,T5)</f>
        <v>0</v>
      </c>
    </row>
    <row r="3" spans="2:28" ht="18.75" customHeight="1">
      <c r="B3" s="11" t="s">
        <v>12</v>
      </c>
      <c r="C3" s="12" t="s">
        <v>17</v>
      </c>
      <c r="D3" s="4" t="s">
        <v>20</v>
      </c>
      <c r="J3" s="5" t="s">
        <v>43</v>
      </c>
      <c r="K3" s="13">
        <f>SUM($F$4:$F$6)-K2</f>
        <v>50</v>
      </c>
      <c r="M3" s="5" t="s">
        <v>43</v>
      </c>
      <c r="N3" s="13">
        <f>SUM($F$4:$F$6)-N2</f>
        <v>50</v>
      </c>
      <c r="P3" s="10"/>
      <c r="S3" s="5" t="s">
        <v>43</v>
      </c>
      <c r="T3" s="13">
        <f>SUM($F$4:$F$6)-T2</f>
        <v>50</v>
      </c>
      <c r="V3" s="5" t="s">
        <v>43</v>
      </c>
      <c r="W3" s="13">
        <f>SUM($F$4:$F$6)-W2</f>
        <v>50</v>
      </c>
      <c r="Y3" s="5" t="s">
        <v>43</v>
      </c>
      <c r="Z3" s="13">
        <f>SUM($F$4:$F$6)-Z2</f>
        <v>50</v>
      </c>
      <c r="AB3" s="6">
        <f>SUM(H6,K6,N6,Q6,T6)</f>
        <v>0</v>
      </c>
    </row>
    <row r="4" spans="2:28" ht="18.75" customHeight="1">
      <c r="B4" s="11" t="s">
        <v>11</v>
      </c>
      <c r="C4" s="12" t="s">
        <v>48</v>
      </c>
      <c r="E4" s="14" t="s">
        <v>14</v>
      </c>
      <c r="F4" s="4">
        <f>COUNTIF($F$12:$F$212, "高")</f>
        <v>50</v>
      </c>
      <c r="H4" s="5">
        <f>COUNTIFS($F12:$F212,"高",I12:I212,"OK")+COUNTIFS($F12:$F212,"高",I12:I212,"NG→OK")</f>
        <v>50</v>
      </c>
      <c r="I4" s="5">
        <f>COUNTIFS($F12:$F212,"高",I12:I212,"NG")</f>
        <v>0</v>
      </c>
      <c r="K4" s="5">
        <f>COUNTIFS($F12:$F212,"高",L12:L212,"OK")</f>
        <v>0</v>
      </c>
      <c r="L4" s="5">
        <f>COUNTIFS($F12:$F212,"高",L12:L212,"NG")</f>
        <v>0</v>
      </c>
      <c r="N4" s="5">
        <f>COUNTIFS($F12:$F212,"高",O12:O212,"OK")+COUNTIFS($F12:$F212,"高",O12:O212,"NG→OK")</f>
        <v>0</v>
      </c>
      <c r="O4" s="5">
        <f>COUNTIFS($F12:$F212,"高",O12:O212,"NG")</f>
        <v>0</v>
      </c>
      <c r="P4" s="10"/>
      <c r="Q4" s="5">
        <f>COUNTIFS($F12:$F212,"高",R12:R212,"OK")</f>
        <v>0</v>
      </c>
      <c r="R4" s="5">
        <f>COUNTIFS($F12:$F212,"高",R12:R212,"NG")</f>
        <v>0</v>
      </c>
      <c r="T4" s="5">
        <f>COUNTIFS($F12:$F212,"高",U12:U212,"OK")</f>
        <v>0</v>
      </c>
      <c r="U4" s="5">
        <f>COUNTIFS($F12:$F212,"高",U12:U212,"NG")</f>
        <v>0</v>
      </c>
      <c r="W4" s="5">
        <f>COUNTIFS($F12:$F212,"高",X12:X212,"OK")+COUNTIFS($F12:$F212,"高",X12:X212,"NG→OK")</f>
        <v>0</v>
      </c>
      <c r="X4" s="5">
        <f>COUNTIFS($F12:$F212,"高",X12:X212,"NG")</f>
        <v>0</v>
      </c>
      <c r="Z4" s="5">
        <f>COUNTIFS($F12:$F212,"高",AA12:AA212,"OK")</f>
        <v>0</v>
      </c>
      <c r="AA4" s="5">
        <f>COUNTIFS($F12:$F212,"高",AA12:AA212,"NG")</f>
        <v>0</v>
      </c>
      <c r="AB4" s="6">
        <f>SUM(I4,L4,O4,R4,U4)</f>
        <v>0</v>
      </c>
    </row>
    <row r="5" spans="2:28" ht="18.75" customHeight="1">
      <c r="B5" s="15" t="s">
        <v>8</v>
      </c>
      <c r="C5" s="16" t="s">
        <v>18</v>
      </c>
      <c r="D5" s="17" t="s">
        <v>33</v>
      </c>
      <c r="E5" s="14" t="s">
        <v>15</v>
      </c>
      <c r="F5" s="4">
        <f>COUNTIF($F$12:$F$212, "中")</f>
        <v>0</v>
      </c>
      <c r="H5" s="5">
        <f>COUNTIFS($F12:$F212,"中",I12:I212,"OK")</f>
        <v>0</v>
      </c>
      <c r="I5" s="5">
        <f>COUNTIFS($F12:$F212,"中",I12:I212,"NG")</f>
        <v>0</v>
      </c>
      <c r="K5" s="5">
        <f>COUNTIFS($F12:$F212,"中",L12:L212,"OK")</f>
        <v>0</v>
      </c>
      <c r="L5" s="5">
        <f>COUNTIFS($F12:$F212,"中",L12:L212,"NG")</f>
        <v>0</v>
      </c>
      <c r="N5" s="5">
        <f>COUNTIFS($F12:$F212,"中",O12:O212,"OK")+COUNTIFS($F12:$F212,"中",O12:O212,"NG→OK")</f>
        <v>0</v>
      </c>
      <c r="O5" s="5">
        <f>COUNTIFS($F12:$F212,"中",O12:O212,"NG")</f>
        <v>0</v>
      </c>
      <c r="P5" s="10"/>
      <c r="Q5" s="5">
        <f>COUNTIFS($F12:$F212,"中",R12:R212,"OK")</f>
        <v>0</v>
      </c>
      <c r="R5" s="5">
        <f>COUNTIFS($F12:$F212,"中",R12:R212,"NG")</f>
        <v>0</v>
      </c>
      <c r="T5" s="5">
        <f>COUNTIFS($F12:$F212,"中",U12:U212,"OK")</f>
        <v>0</v>
      </c>
      <c r="U5" s="5">
        <f>COUNTIFS($F12:$F212,"中",U12:U212,"NG")</f>
        <v>0</v>
      </c>
      <c r="W5" s="5">
        <f>COUNTIFS($F12:$F212,"中",X12:X212,"OK")</f>
        <v>0</v>
      </c>
      <c r="X5" s="5">
        <f>COUNTIFS($F12:$F212,"中",X12:X212,"NG")</f>
        <v>0</v>
      </c>
      <c r="Z5" s="5">
        <f>COUNTIFS($F12:$F212,"中",AA12:AA212,"OK")</f>
        <v>0</v>
      </c>
      <c r="AA5" s="5">
        <f>COUNTIFS($F12:$F212,"中",AA12:AA212,"NG")</f>
        <v>0</v>
      </c>
      <c r="AB5" s="6">
        <f>SUM(I5,L5,O5,R5,U5)</f>
        <v>0</v>
      </c>
    </row>
    <row r="6" spans="2:28" ht="18.75" customHeight="1" thickBot="1">
      <c r="B6" s="18" t="s">
        <v>9</v>
      </c>
      <c r="C6" s="19">
        <v>44931</v>
      </c>
      <c r="D6" s="4" t="s">
        <v>45</v>
      </c>
      <c r="E6" s="14" t="s">
        <v>16</v>
      </c>
      <c r="F6" s="4">
        <f>COUNTIF($F$12:$F$212, "低")</f>
        <v>0</v>
      </c>
      <c r="H6" s="5">
        <f>COUNTIFS($F12:$F212,"低",I12:I212,"OK")</f>
        <v>0</v>
      </c>
      <c r="I6" s="5">
        <f>COUNTIFS($F12:$F212,"低",I12:I212,"NG")</f>
        <v>0</v>
      </c>
      <c r="K6" s="5">
        <f>COUNTIFS($F12:$F212,"低",L12:L212,"OK")</f>
        <v>0</v>
      </c>
      <c r="L6" s="5">
        <f>COUNTIFS($F12:$F212,"低",L12:L212,"NG")</f>
        <v>0</v>
      </c>
      <c r="N6" s="5">
        <f>COUNTIFS($F12:$F212,"低",O12:O212,"OK")</f>
        <v>0</v>
      </c>
      <c r="O6" s="5">
        <f>COUNTIFS($F12:$F212,"低",O12:O212,"NG")</f>
        <v>0</v>
      </c>
      <c r="P6" s="10"/>
      <c r="Q6" s="5">
        <f>COUNTIFS($F12:$F212,"低",R12:R212,"OK")</f>
        <v>0</v>
      </c>
      <c r="R6" s="5">
        <f>COUNTIFS($F12:$F212,"低",R12:R212,"NG")</f>
        <v>0</v>
      </c>
      <c r="T6" s="5">
        <f>COUNTIFS($F12:$F212,"低",U12:U212,"OK")</f>
        <v>0</v>
      </c>
      <c r="U6" s="5">
        <f>COUNTIFS($F12:$F212,"低",U12:U212,"NG")</f>
        <v>0</v>
      </c>
      <c r="W6" s="5">
        <f>COUNTIFS($F12:$F212,"低",X12:X212,"OK")</f>
        <v>0</v>
      </c>
      <c r="X6" s="5">
        <f>COUNTIFS($F12:$F212,"低",X12:X212,"NG")</f>
        <v>0</v>
      </c>
      <c r="Z6" s="5">
        <f>COUNTIFS($F12:$F212,"低",AA12:AA212,"OK")</f>
        <v>0</v>
      </c>
      <c r="AA6" s="5">
        <f>COUNTIFS($F12:$F212,"低",AA12:AA212,"NG")</f>
        <v>0</v>
      </c>
      <c r="AB6" s="6">
        <f>SUM(I6,L6,O6,R6,U6)</f>
        <v>0</v>
      </c>
    </row>
    <row r="7" spans="2:28">
      <c r="D7" s="4" t="s">
        <v>32</v>
      </c>
    </row>
    <row r="8" spans="2:28" ht="20.25" customHeight="1">
      <c r="C8" s="177" t="s">
        <v>4</v>
      </c>
      <c r="D8" s="178"/>
      <c r="E8" s="178"/>
      <c r="F8" s="179"/>
      <c r="G8" s="186" t="s">
        <v>44</v>
      </c>
      <c r="H8" s="187"/>
      <c r="I8" s="187"/>
      <c r="J8" s="187"/>
      <c r="K8" s="187"/>
      <c r="L8" s="187"/>
      <c r="M8" s="187"/>
      <c r="N8" s="187"/>
      <c r="O8" s="187"/>
      <c r="P8" s="187"/>
      <c r="Q8" s="187"/>
      <c r="R8" s="187"/>
      <c r="S8" s="187"/>
      <c r="T8" s="187"/>
      <c r="U8" s="187"/>
      <c r="V8" s="183" t="s">
        <v>52</v>
      </c>
      <c r="W8" s="184"/>
      <c r="X8" s="184"/>
      <c r="Y8" s="184"/>
      <c r="Z8" s="184"/>
      <c r="AA8" s="185"/>
    </row>
    <row r="9" spans="2:28" ht="20.25" customHeight="1">
      <c r="C9" s="180"/>
      <c r="D9" s="181"/>
      <c r="E9" s="181"/>
      <c r="F9" s="182"/>
      <c r="G9" s="188" t="s">
        <v>21</v>
      </c>
      <c r="H9" s="189"/>
      <c r="I9" s="190"/>
      <c r="J9" s="188" t="s">
        <v>22</v>
      </c>
      <c r="K9" s="189"/>
      <c r="L9" s="190"/>
      <c r="M9" s="188" t="s">
        <v>41</v>
      </c>
      <c r="N9" s="189"/>
      <c r="O9" s="190"/>
      <c r="P9" s="188" t="s">
        <v>46</v>
      </c>
      <c r="Q9" s="189"/>
      <c r="R9" s="190"/>
      <c r="S9" s="188" t="s">
        <v>47</v>
      </c>
      <c r="T9" s="189"/>
      <c r="U9" s="190"/>
      <c r="V9" s="174" t="s">
        <v>53</v>
      </c>
      <c r="W9" s="175"/>
      <c r="X9" s="176"/>
      <c r="Y9" s="174" t="s">
        <v>54</v>
      </c>
      <c r="Z9" s="175"/>
      <c r="AA9" s="176"/>
    </row>
    <row r="10" spans="2:28" ht="26">
      <c r="B10" s="20" t="s">
        <v>2</v>
      </c>
      <c r="C10" s="21" t="s">
        <v>13</v>
      </c>
      <c r="D10" s="21" t="s">
        <v>0</v>
      </c>
      <c r="E10" s="21" t="s">
        <v>1</v>
      </c>
      <c r="F10" s="21" t="s">
        <v>3</v>
      </c>
      <c r="G10" s="22" t="s">
        <v>7</v>
      </c>
      <c r="H10" s="22" t="s">
        <v>5</v>
      </c>
      <c r="I10" s="22" t="s">
        <v>6</v>
      </c>
      <c r="J10" s="22" t="s">
        <v>7</v>
      </c>
      <c r="K10" s="22" t="s">
        <v>5</v>
      </c>
      <c r="L10" s="22" t="s">
        <v>6</v>
      </c>
      <c r="M10" s="22" t="s">
        <v>7</v>
      </c>
      <c r="N10" s="22" t="s">
        <v>5</v>
      </c>
      <c r="O10" s="22" t="s">
        <v>6</v>
      </c>
      <c r="P10" s="22" t="s">
        <v>7</v>
      </c>
      <c r="Q10" s="22" t="s">
        <v>5</v>
      </c>
      <c r="R10" s="22" t="s">
        <v>6</v>
      </c>
      <c r="S10" s="22" t="s">
        <v>7</v>
      </c>
      <c r="T10" s="22" t="s">
        <v>5</v>
      </c>
      <c r="U10" s="22" t="s">
        <v>6</v>
      </c>
      <c r="V10" s="33" t="s">
        <v>7</v>
      </c>
      <c r="W10" s="33" t="s">
        <v>5</v>
      </c>
      <c r="X10" s="33" t="s">
        <v>6</v>
      </c>
      <c r="Y10" s="33" t="s">
        <v>7</v>
      </c>
      <c r="Z10" s="33" t="s">
        <v>5</v>
      </c>
      <c r="AA10" s="33" t="s">
        <v>6</v>
      </c>
    </row>
    <row r="11" spans="2:28" ht="28.5" customHeight="1">
      <c r="B11" s="172" t="s">
        <v>775</v>
      </c>
      <c r="C11" s="173"/>
      <c r="D11" s="173"/>
      <c r="E11" s="173"/>
      <c r="F11" s="173"/>
      <c r="G11" s="23"/>
      <c r="H11" s="23"/>
      <c r="I11" s="23"/>
      <c r="J11" s="23"/>
      <c r="K11" s="23"/>
      <c r="L11" s="23"/>
      <c r="M11" s="23"/>
      <c r="N11" s="23"/>
      <c r="O11" s="23"/>
      <c r="P11" s="23"/>
      <c r="Q11" s="23"/>
      <c r="R11" s="23"/>
      <c r="S11" s="23"/>
      <c r="T11" s="23"/>
      <c r="U11" s="23"/>
      <c r="V11" s="23"/>
      <c r="W11" s="23"/>
      <c r="X11" s="23"/>
      <c r="Y11" s="23"/>
      <c r="Z11" s="23"/>
      <c r="AA11" s="23"/>
    </row>
    <row r="12" spans="2:28" s="31" customFormat="1" ht="65">
      <c r="B12" s="24">
        <f>IF($C$12:C12&lt;&gt;"",COUNTA($C$12:C12),"")</f>
        <v>1</v>
      </c>
      <c r="C12" s="25" t="s">
        <v>943</v>
      </c>
      <c r="D12" s="25" t="s">
        <v>871</v>
      </c>
      <c r="E12" s="25" t="s">
        <v>553</v>
      </c>
      <c r="F12" s="36" t="s">
        <v>554</v>
      </c>
      <c r="G12" s="28">
        <v>44942</v>
      </c>
      <c r="H12" s="29" t="s">
        <v>940</v>
      </c>
      <c r="I12" s="30" t="s">
        <v>941</v>
      </c>
      <c r="J12" s="37"/>
      <c r="K12" s="38"/>
      <c r="L12" s="34"/>
      <c r="M12" s="37"/>
      <c r="N12" s="38"/>
      <c r="O12" s="34"/>
      <c r="P12" s="37"/>
      <c r="Q12" s="38"/>
      <c r="R12" s="34"/>
      <c r="S12" s="37"/>
      <c r="T12" s="38"/>
      <c r="U12" s="34"/>
      <c r="V12" s="37"/>
      <c r="W12" s="38"/>
      <c r="X12" s="34"/>
      <c r="Y12" s="37"/>
      <c r="Z12" s="38"/>
      <c r="AA12" s="34"/>
    </row>
    <row r="13" spans="2:28" s="31" customFormat="1" ht="52">
      <c r="B13" s="24">
        <f>IF($C$12:C13&lt;&gt;"",COUNTA($C$12:C13),"")</f>
        <v>2</v>
      </c>
      <c r="C13" s="25" t="s">
        <v>944</v>
      </c>
      <c r="D13" s="25"/>
      <c r="E13" s="25"/>
      <c r="F13" s="36" t="s">
        <v>554</v>
      </c>
      <c r="G13" s="28">
        <v>44944</v>
      </c>
      <c r="H13" s="29" t="s">
        <v>940</v>
      </c>
      <c r="I13" s="73" t="s">
        <v>987</v>
      </c>
      <c r="J13" s="37"/>
      <c r="K13" s="38"/>
      <c r="L13" s="34"/>
      <c r="M13" s="37"/>
      <c r="N13" s="38"/>
      <c r="O13" s="34"/>
      <c r="P13" s="37"/>
      <c r="Q13" s="38"/>
      <c r="R13" s="34"/>
      <c r="S13" s="37"/>
      <c r="T13" s="38"/>
      <c r="U13" s="34"/>
      <c r="V13" s="37"/>
      <c r="W13" s="38"/>
      <c r="X13" s="34"/>
      <c r="Y13" s="37"/>
      <c r="Z13" s="38"/>
      <c r="AA13" s="34"/>
    </row>
    <row r="14" spans="2:28" s="31" customFormat="1" ht="52">
      <c r="B14" s="24">
        <f>IF($C$12:C14&lt;&gt;"",COUNTA($C$12:C14),"")</f>
        <v>3</v>
      </c>
      <c r="C14" s="25" t="s">
        <v>945</v>
      </c>
      <c r="D14" s="25"/>
      <c r="E14" s="25"/>
      <c r="F14" s="36" t="s">
        <v>554</v>
      </c>
      <c r="G14" s="28">
        <v>44949</v>
      </c>
      <c r="H14" s="29" t="s">
        <v>940</v>
      </c>
      <c r="I14" s="30" t="s">
        <v>1053</v>
      </c>
      <c r="J14" s="37"/>
      <c r="K14" s="38"/>
      <c r="L14" s="34"/>
      <c r="M14" s="37"/>
      <c r="N14" s="38"/>
      <c r="O14" s="34"/>
      <c r="P14" s="37"/>
      <c r="Q14" s="38"/>
      <c r="R14" s="34"/>
      <c r="S14" s="37"/>
      <c r="T14" s="38"/>
      <c r="U14" s="34"/>
      <c r="V14" s="37"/>
      <c r="W14" s="38"/>
      <c r="X14" s="34"/>
      <c r="Y14" s="37"/>
      <c r="Z14" s="38"/>
      <c r="AA14" s="34"/>
    </row>
    <row r="15" spans="2:28" s="31" customFormat="1" ht="52">
      <c r="B15" s="24">
        <f>IF($C$12:C15&lt;&gt;"",COUNTA($C$12:C15),"")</f>
        <v>4</v>
      </c>
      <c r="C15" s="25" t="s">
        <v>946</v>
      </c>
      <c r="D15" s="25"/>
      <c r="E15" s="25"/>
      <c r="F15" s="36" t="s">
        <v>554</v>
      </c>
      <c r="G15" s="28">
        <v>44949</v>
      </c>
      <c r="H15" s="29" t="s">
        <v>940</v>
      </c>
      <c r="I15" s="30" t="s">
        <v>1053</v>
      </c>
      <c r="J15" s="37"/>
      <c r="K15" s="38"/>
      <c r="L15" s="34"/>
      <c r="M15" s="37"/>
      <c r="N15" s="38"/>
      <c r="O15" s="34"/>
      <c r="P15" s="37"/>
      <c r="Q15" s="38"/>
      <c r="R15" s="34"/>
      <c r="S15" s="37"/>
      <c r="T15" s="38"/>
      <c r="U15" s="34"/>
      <c r="V15" s="37"/>
      <c r="W15" s="38"/>
      <c r="X15" s="34"/>
      <c r="Y15" s="37"/>
      <c r="Z15" s="38"/>
      <c r="AA15" s="34"/>
    </row>
    <row r="16" spans="2:28" s="31" customFormat="1" ht="52">
      <c r="B16" s="24">
        <f>IF($C$12:C16&lt;&gt;"",COUNTA($C$12:C16),"")</f>
        <v>5</v>
      </c>
      <c r="C16" s="25" t="s">
        <v>947</v>
      </c>
      <c r="D16" s="25"/>
      <c r="E16" s="25"/>
      <c r="F16" s="36" t="s">
        <v>554</v>
      </c>
      <c r="G16" s="37">
        <v>44946</v>
      </c>
      <c r="H16" s="29" t="s">
        <v>940</v>
      </c>
      <c r="I16" s="30" t="s">
        <v>941</v>
      </c>
      <c r="J16" s="37"/>
      <c r="K16" s="38"/>
      <c r="L16" s="34"/>
      <c r="M16" s="37"/>
      <c r="N16" s="38"/>
      <c r="O16" s="34"/>
      <c r="P16" s="37"/>
      <c r="Q16" s="38"/>
      <c r="R16" s="34"/>
      <c r="S16" s="37"/>
      <c r="T16" s="38"/>
      <c r="U16" s="34"/>
      <c r="V16" s="37"/>
      <c r="W16" s="38"/>
      <c r="X16" s="34"/>
      <c r="Y16" s="37"/>
      <c r="Z16" s="38"/>
      <c r="AA16" s="34"/>
    </row>
    <row r="17" spans="2:27" s="31" customFormat="1" ht="52">
      <c r="B17" s="24">
        <f>IF($C$12:C17&lt;&gt;"",COUNTA($C$12:C17),"")</f>
        <v>6</v>
      </c>
      <c r="C17" s="25" t="s">
        <v>948</v>
      </c>
      <c r="D17" s="25"/>
      <c r="E17" s="25"/>
      <c r="F17" s="36" t="s">
        <v>554</v>
      </c>
      <c r="G17" s="37">
        <v>44946</v>
      </c>
      <c r="H17" s="29" t="s">
        <v>940</v>
      </c>
      <c r="I17" s="30" t="s">
        <v>941</v>
      </c>
      <c r="J17" s="37"/>
      <c r="K17" s="38"/>
      <c r="L17" s="34"/>
      <c r="M17" s="37"/>
      <c r="N17" s="38"/>
      <c r="O17" s="34"/>
      <c r="P17" s="37"/>
      <c r="Q17" s="38"/>
      <c r="R17" s="34"/>
      <c r="S17" s="37"/>
      <c r="T17" s="38"/>
      <c r="U17" s="34"/>
      <c r="V17" s="37"/>
      <c r="W17" s="38"/>
      <c r="X17" s="34"/>
      <c r="Y17" s="37"/>
      <c r="Z17" s="38"/>
      <c r="AA17" s="34"/>
    </row>
    <row r="18" spans="2:27" s="31" customFormat="1" ht="52">
      <c r="B18" s="24">
        <f>IF($C$12:C18&lt;&gt;"",COUNTA($C$12:C18),"")</f>
        <v>7</v>
      </c>
      <c r="C18" s="25" t="s">
        <v>949</v>
      </c>
      <c r="D18" s="25"/>
      <c r="E18" s="25"/>
      <c r="F18" s="36" t="s">
        <v>554</v>
      </c>
      <c r="G18" s="37">
        <v>44946</v>
      </c>
      <c r="H18" s="29" t="s">
        <v>940</v>
      </c>
      <c r="I18" s="30" t="s">
        <v>941</v>
      </c>
      <c r="J18" s="37"/>
      <c r="K18" s="38"/>
      <c r="L18" s="34"/>
      <c r="M18" s="37"/>
      <c r="N18" s="38"/>
      <c r="O18" s="34"/>
      <c r="P18" s="37"/>
      <c r="Q18" s="38"/>
      <c r="R18" s="34"/>
      <c r="S18" s="37"/>
      <c r="T18" s="38"/>
      <c r="U18" s="34"/>
      <c r="V18" s="37"/>
      <c r="W18" s="38"/>
      <c r="X18" s="34"/>
      <c r="Y18" s="37"/>
      <c r="Z18" s="38"/>
      <c r="AA18" s="34"/>
    </row>
    <row r="19" spans="2:27" s="31" customFormat="1" ht="52">
      <c r="B19" s="24">
        <f>IF($C$12:C19&lt;&gt;"",COUNTA($C$12:C19),"")</f>
        <v>8</v>
      </c>
      <c r="C19" s="25" t="s">
        <v>950</v>
      </c>
      <c r="D19" s="25"/>
      <c r="E19" s="25"/>
      <c r="F19" s="36" t="s">
        <v>554</v>
      </c>
      <c r="G19" s="37">
        <v>44946</v>
      </c>
      <c r="H19" s="29" t="s">
        <v>940</v>
      </c>
      <c r="I19" s="30" t="s">
        <v>941</v>
      </c>
      <c r="J19" s="37"/>
      <c r="K19" s="38"/>
      <c r="L19" s="34"/>
      <c r="M19" s="37"/>
      <c r="N19" s="38"/>
      <c r="O19" s="34"/>
      <c r="P19" s="37"/>
      <c r="Q19" s="38"/>
      <c r="R19" s="34"/>
      <c r="S19" s="37"/>
      <c r="T19" s="38"/>
      <c r="U19" s="34"/>
      <c r="V19" s="37"/>
      <c r="W19" s="38"/>
      <c r="X19" s="34"/>
      <c r="Y19" s="37"/>
      <c r="Z19" s="38"/>
      <c r="AA19" s="34"/>
    </row>
    <row r="20" spans="2:27" s="31" customFormat="1" ht="52">
      <c r="B20" s="24">
        <f>IF($C$12:C20&lt;&gt;"",COUNTA($C$12:C20),"")</f>
        <v>9</v>
      </c>
      <c r="C20" s="25" t="s">
        <v>951</v>
      </c>
      <c r="D20" s="25"/>
      <c r="E20" s="25"/>
      <c r="F20" s="36" t="s">
        <v>554</v>
      </c>
      <c r="G20" s="37">
        <v>44946</v>
      </c>
      <c r="H20" s="29" t="s">
        <v>940</v>
      </c>
      <c r="I20" s="73" t="s">
        <v>1051</v>
      </c>
      <c r="J20" s="37"/>
      <c r="K20" s="38"/>
      <c r="L20" s="34"/>
      <c r="M20" s="37"/>
      <c r="N20" s="38"/>
      <c r="O20" s="34"/>
      <c r="P20" s="37"/>
      <c r="Q20" s="38"/>
      <c r="R20" s="34"/>
      <c r="S20" s="37"/>
      <c r="T20" s="38"/>
      <c r="U20" s="34"/>
      <c r="V20" s="37"/>
      <c r="W20" s="38"/>
      <c r="X20" s="34"/>
      <c r="Y20" s="37"/>
      <c r="Z20" s="38"/>
      <c r="AA20" s="34"/>
    </row>
    <row r="21" spans="2:27" s="31" customFormat="1" ht="52">
      <c r="B21" s="24">
        <f>IF($C$12:C21&lt;&gt;"",COUNTA($C$12:C21),"")</f>
        <v>10</v>
      </c>
      <c r="C21" s="25" t="s">
        <v>952</v>
      </c>
      <c r="D21" s="25"/>
      <c r="E21" s="25"/>
      <c r="F21" s="36" t="s">
        <v>554</v>
      </c>
      <c r="G21" s="28">
        <v>44949</v>
      </c>
      <c r="H21" s="29" t="s">
        <v>1052</v>
      </c>
      <c r="I21" s="30" t="s">
        <v>1053</v>
      </c>
      <c r="J21" s="37"/>
      <c r="K21" s="38"/>
      <c r="L21" s="34"/>
      <c r="M21" s="37"/>
      <c r="N21" s="38"/>
      <c r="O21" s="34"/>
      <c r="P21" s="37"/>
      <c r="Q21" s="38"/>
      <c r="R21" s="34"/>
      <c r="S21" s="37"/>
      <c r="T21" s="38"/>
      <c r="U21" s="34"/>
      <c r="V21" s="37"/>
      <c r="W21" s="38"/>
      <c r="X21" s="34"/>
      <c r="Y21" s="37"/>
      <c r="Z21" s="38"/>
      <c r="AA21" s="34"/>
    </row>
    <row r="22" spans="2:27" s="31" customFormat="1" ht="52">
      <c r="B22" s="24">
        <f>IF($C$12:C22&lt;&gt;"",COUNTA($C$12:C22),"")</f>
        <v>11</v>
      </c>
      <c r="C22" s="25" t="s">
        <v>953</v>
      </c>
      <c r="D22" s="25"/>
      <c r="E22" s="25"/>
      <c r="F22" s="36" t="s">
        <v>554</v>
      </c>
      <c r="G22" s="28">
        <v>44949</v>
      </c>
      <c r="H22" s="29" t="s">
        <v>1052</v>
      </c>
      <c r="I22" s="30" t="s">
        <v>1053</v>
      </c>
      <c r="J22" s="37"/>
      <c r="K22" s="38"/>
      <c r="L22" s="34"/>
      <c r="M22" s="37"/>
      <c r="N22" s="38"/>
      <c r="O22" s="34"/>
      <c r="P22" s="37"/>
      <c r="Q22" s="38"/>
      <c r="R22" s="34"/>
      <c r="S22" s="37"/>
      <c r="T22" s="38"/>
      <c r="U22" s="34"/>
      <c r="V22" s="37"/>
      <c r="W22" s="38"/>
      <c r="X22" s="34"/>
      <c r="Y22" s="37"/>
      <c r="Z22" s="38"/>
      <c r="AA22" s="34"/>
    </row>
    <row r="23" spans="2:27" s="31" customFormat="1" ht="52">
      <c r="B23" s="24">
        <f>IF($C$12:C23&lt;&gt;"",COUNTA($C$12:C23),"")</f>
        <v>12</v>
      </c>
      <c r="C23" s="25" t="s">
        <v>954</v>
      </c>
      <c r="D23" s="25"/>
      <c r="E23" s="25"/>
      <c r="F23" s="36" t="s">
        <v>554</v>
      </c>
      <c r="G23" s="28">
        <v>44949</v>
      </c>
      <c r="H23" s="29" t="s">
        <v>1052</v>
      </c>
      <c r="I23" s="30" t="s">
        <v>1053</v>
      </c>
      <c r="J23" s="37"/>
      <c r="K23" s="38"/>
      <c r="L23" s="34"/>
      <c r="M23" s="37"/>
      <c r="N23" s="38"/>
      <c r="O23" s="34"/>
      <c r="P23" s="37"/>
      <c r="Q23" s="38"/>
      <c r="R23" s="34"/>
      <c r="S23" s="37"/>
      <c r="T23" s="38"/>
      <c r="U23" s="34"/>
      <c r="V23" s="37"/>
      <c r="W23" s="38"/>
      <c r="X23" s="34"/>
      <c r="Y23" s="37"/>
      <c r="Z23" s="38"/>
      <c r="AA23" s="34"/>
    </row>
    <row r="24" spans="2:27" s="31" customFormat="1" ht="52">
      <c r="B24" s="24">
        <f>IF($C$12:C24&lt;&gt;"",COUNTA($C$12:C24),"")</f>
        <v>13</v>
      </c>
      <c r="C24" s="25" t="s">
        <v>955</v>
      </c>
      <c r="D24" s="25"/>
      <c r="E24" s="25"/>
      <c r="F24" s="36" t="s">
        <v>554</v>
      </c>
      <c r="G24" s="28">
        <v>44949</v>
      </c>
      <c r="H24" s="29" t="s">
        <v>1052</v>
      </c>
      <c r="I24" s="30" t="s">
        <v>1053</v>
      </c>
      <c r="J24" s="37"/>
      <c r="K24" s="38"/>
      <c r="L24" s="34"/>
      <c r="M24" s="37"/>
      <c r="N24" s="38"/>
      <c r="O24" s="34"/>
      <c r="P24" s="37"/>
      <c r="Q24" s="38"/>
      <c r="R24" s="34"/>
      <c r="S24" s="37"/>
      <c r="T24" s="38"/>
      <c r="U24" s="34"/>
      <c r="V24" s="37"/>
      <c r="W24" s="38"/>
      <c r="X24" s="34"/>
      <c r="Y24" s="37"/>
      <c r="Z24" s="38"/>
      <c r="AA24" s="34"/>
    </row>
    <row r="25" spans="2:27" s="31" customFormat="1" ht="52">
      <c r="B25" s="24">
        <f>IF($C$12:C25&lt;&gt;"",COUNTA($C$12:C25),"")</f>
        <v>14</v>
      </c>
      <c r="C25" s="25" t="s">
        <v>956</v>
      </c>
      <c r="D25" s="25"/>
      <c r="E25" s="25"/>
      <c r="F25" s="36" t="s">
        <v>554</v>
      </c>
      <c r="G25" s="28">
        <v>44949</v>
      </c>
      <c r="H25" s="29" t="s">
        <v>1052</v>
      </c>
      <c r="I25" s="30" t="s">
        <v>1053</v>
      </c>
      <c r="J25" s="37"/>
      <c r="K25" s="38"/>
      <c r="L25" s="34"/>
      <c r="M25" s="37"/>
      <c r="N25" s="38"/>
      <c r="O25" s="34"/>
      <c r="P25" s="37"/>
      <c r="Q25" s="38"/>
      <c r="R25" s="34"/>
      <c r="S25" s="37"/>
      <c r="T25" s="38"/>
      <c r="U25" s="34"/>
      <c r="V25" s="37"/>
      <c r="W25" s="38"/>
      <c r="X25" s="34"/>
      <c r="Y25" s="37"/>
      <c r="Z25" s="38"/>
      <c r="AA25" s="34"/>
    </row>
    <row r="26" spans="2:27" s="31" customFormat="1" ht="52">
      <c r="B26" s="24">
        <f>IF($C$12:C26&lt;&gt;"",COUNTA($C$12:C26),"")</f>
        <v>15</v>
      </c>
      <c r="C26" s="25" t="s">
        <v>957</v>
      </c>
      <c r="D26" s="25"/>
      <c r="E26" s="25"/>
      <c r="F26" s="36" t="s">
        <v>554</v>
      </c>
      <c r="G26" s="28">
        <v>44949</v>
      </c>
      <c r="H26" s="29" t="s">
        <v>1052</v>
      </c>
      <c r="I26" s="30" t="s">
        <v>1053</v>
      </c>
      <c r="J26" s="37"/>
      <c r="K26" s="38"/>
      <c r="L26" s="34"/>
      <c r="M26" s="37"/>
      <c r="N26" s="38"/>
      <c r="O26" s="34"/>
      <c r="P26" s="37"/>
      <c r="Q26" s="38"/>
      <c r="R26" s="34"/>
      <c r="S26" s="37"/>
      <c r="T26" s="38"/>
      <c r="U26" s="34"/>
      <c r="V26" s="37"/>
      <c r="W26" s="38"/>
      <c r="X26" s="34"/>
      <c r="Y26" s="37"/>
      <c r="Z26" s="38"/>
      <c r="AA26" s="34"/>
    </row>
    <row r="27" spans="2:27" s="31" customFormat="1" ht="52">
      <c r="B27" s="24">
        <f>IF($C$12:C27&lt;&gt;"",COUNTA($C$12:C27),"")</f>
        <v>16</v>
      </c>
      <c r="C27" s="25" t="s">
        <v>958</v>
      </c>
      <c r="D27" s="25"/>
      <c r="E27" s="25"/>
      <c r="F27" s="36" t="s">
        <v>554</v>
      </c>
      <c r="G27" s="28">
        <v>44949</v>
      </c>
      <c r="H27" s="29" t="s">
        <v>1052</v>
      </c>
      <c r="I27" s="30" t="s">
        <v>1053</v>
      </c>
      <c r="J27" s="37"/>
      <c r="K27" s="38"/>
      <c r="L27" s="34"/>
      <c r="M27" s="37"/>
      <c r="N27" s="38"/>
      <c r="O27" s="34"/>
      <c r="P27" s="37"/>
      <c r="Q27" s="38"/>
      <c r="R27" s="34"/>
      <c r="S27" s="37"/>
      <c r="T27" s="38"/>
      <c r="U27" s="34"/>
      <c r="V27" s="37"/>
      <c r="W27" s="38"/>
      <c r="X27" s="34"/>
      <c r="Y27" s="37"/>
      <c r="Z27" s="38"/>
      <c r="AA27" s="34"/>
    </row>
    <row r="28" spans="2:27" s="31" customFormat="1" ht="52">
      <c r="B28" s="24">
        <f>IF($C$12:C28&lt;&gt;"",COUNTA($C$12:C28),"")</f>
        <v>17</v>
      </c>
      <c r="C28" s="25" t="s">
        <v>959</v>
      </c>
      <c r="D28" s="25"/>
      <c r="E28" s="25"/>
      <c r="F28" s="36" t="s">
        <v>554</v>
      </c>
      <c r="G28" s="28">
        <v>44949</v>
      </c>
      <c r="H28" s="29" t="s">
        <v>1052</v>
      </c>
      <c r="I28" s="30" t="s">
        <v>1053</v>
      </c>
      <c r="J28" s="37"/>
      <c r="K28" s="38"/>
      <c r="L28" s="34"/>
      <c r="M28" s="37"/>
      <c r="N28" s="38"/>
      <c r="O28" s="34"/>
      <c r="P28" s="37"/>
      <c r="Q28" s="38"/>
      <c r="R28" s="34"/>
      <c r="S28" s="37"/>
      <c r="T28" s="38"/>
      <c r="U28" s="34"/>
      <c r="V28" s="37"/>
      <c r="W28" s="38"/>
      <c r="X28" s="34"/>
      <c r="Y28" s="37"/>
      <c r="Z28" s="38"/>
      <c r="AA28" s="34"/>
    </row>
    <row r="29" spans="2:27" s="31" customFormat="1" ht="52">
      <c r="B29" s="24">
        <f>IF($C$12:C29&lt;&gt;"",COUNTA($C$12:C29),"")</f>
        <v>18</v>
      </c>
      <c r="C29" s="25" t="s">
        <v>960</v>
      </c>
      <c r="D29" s="25"/>
      <c r="E29" s="25"/>
      <c r="F29" s="36" t="s">
        <v>554</v>
      </c>
      <c r="G29" s="28">
        <v>44949</v>
      </c>
      <c r="H29" s="29" t="s">
        <v>1052</v>
      </c>
      <c r="I29" s="30" t="s">
        <v>1053</v>
      </c>
      <c r="J29" s="37"/>
      <c r="K29" s="38"/>
      <c r="L29" s="34"/>
      <c r="M29" s="37"/>
      <c r="N29" s="38"/>
      <c r="O29" s="34"/>
      <c r="P29" s="37"/>
      <c r="Q29" s="38"/>
      <c r="R29" s="34"/>
      <c r="S29" s="37"/>
      <c r="T29" s="38"/>
      <c r="U29" s="34"/>
      <c r="V29" s="37"/>
      <c r="W29" s="38"/>
      <c r="X29" s="34"/>
      <c r="Y29" s="37"/>
      <c r="Z29" s="38"/>
      <c r="AA29" s="34"/>
    </row>
    <row r="30" spans="2:27" s="31" customFormat="1" ht="52">
      <c r="B30" s="24">
        <f>IF($C$12:C30&lt;&gt;"",COUNTA($C$12:C30),"")</f>
        <v>19</v>
      </c>
      <c r="C30" s="25" t="s">
        <v>961</v>
      </c>
      <c r="D30" s="25"/>
      <c r="E30" s="25"/>
      <c r="F30" s="36" t="s">
        <v>554</v>
      </c>
      <c r="G30" s="28">
        <v>44949</v>
      </c>
      <c r="H30" s="29" t="s">
        <v>1052</v>
      </c>
      <c r="I30" s="30" t="s">
        <v>1053</v>
      </c>
      <c r="J30" s="37"/>
      <c r="K30" s="38"/>
      <c r="L30" s="34"/>
      <c r="M30" s="37"/>
      <c r="N30" s="38"/>
      <c r="O30" s="34"/>
      <c r="P30" s="37"/>
      <c r="Q30" s="38"/>
      <c r="R30" s="34"/>
      <c r="S30" s="37"/>
      <c r="T30" s="38"/>
      <c r="U30" s="34"/>
      <c r="V30" s="37"/>
      <c r="W30" s="38"/>
      <c r="X30" s="34"/>
      <c r="Y30" s="37"/>
      <c r="Z30" s="38"/>
      <c r="AA30" s="34"/>
    </row>
    <row r="31" spans="2:27" s="31" customFormat="1" ht="52">
      <c r="B31" s="24">
        <f>IF($C$12:C31&lt;&gt;"",COUNTA($C$12:C31),"")</f>
        <v>20</v>
      </c>
      <c r="C31" s="25" t="s">
        <v>962</v>
      </c>
      <c r="D31" s="25"/>
      <c r="E31" s="25"/>
      <c r="F31" s="36" t="s">
        <v>554</v>
      </c>
      <c r="G31" s="28">
        <v>44949</v>
      </c>
      <c r="H31" s="29" t="s">
        <v>1052</v>
      </c>
      <c r="I31" s="30" t="s">
        <v>1053</v>
      </c>
      <c r="J31" s="37"/>
      <c r="K31" s="38"/>
      <c r="L31" s="34"/>
      <c r="M31" s="37"/>
      <c r="N31" s="38"/>
      <c r="O31" s="34"/>
      <c r="P31" s="37"/>
      <c r="Q31" s="38"/>
      <c r="R31" s="34"/>
      <c r="S31" s="37"/>
      <c r="T31" s="38"/>
      <c r="U31" s="34"/>
      <c r="V31" s="37"/>
      <c r="W31" s="38"/>
      <c r="X31" s="34"/>
      <c r="Y31" s="37"/>
      <c r="Z31" s="38"/>
      <c r="AA31" s="34"/>
    </row>
    <row r="32" spans="2:27" s="31" customFormat="1" ht="59.5" customHeight="1">
      <c r="B32" s="24">
        <f>IF($C$12:C32&lt;&gt;"",COUNTA($C$12:C32),"")</f>
        <v>21</v>
      </c>
      <c r="C32" s="25" t="s">
        <v>966</v>
      </c>
      <c r="D32" s="25"/>
      <c r="E32" s="25" t="s">
        <v>565</v>
      </c>
      <c r="F32" s="36" t="s">
        <v>554</v>
      </c>
      <c r="G32" s="28">
        <v>44942</v>
      </c>
      <c r="H32" s="29" t="s">
        <v>940</v>
      </c>
      <c r="I32" s="30" t="s">
        <v>941</v>
      </c>
      <c r="J32" s="37"/>
      <c r="K32" s="38"/>
      <c r="L32" s="34"/>
      <c r="M32" s="37"/>
      <c r="N32" s="38"/>
      <c r="O32" s="34"/>
      <c r="P32" s="37"/>
      <c r="Q32" s="38"/>
      <c r="R32" s="34"/>
      <c r="S32" s="37"/>
      <c r="T32" s="38"/>
      <c r="U32" s="34"/>
      <c r="V32" s="37"/>
      <c r="W32" s="38"/>
      <c r="X32" s="34"/>
      <c r="Y32" s="37"/>
      <c r="Z32" s="38"/>
      <c r="AA32" s="34"/>
    </row>
    <row r="33" spans="2:27" s="31" customFormat="1" ht="52">
      <c r="B33" s="24">
        <f>IF($C$12:C33&lt;&gt;"",COUNTA($C$12:C33),"")</f>
        <v>22</v>
      </c>
      <c r="C33" s="25" t="s">
        <v>967</v>
      </c>
      <c r="D33" s="25"/>
      <c r="E33" s="25" t="s">
        <v>565</v>
      </c>
      <c r="F33" s="36" t="s">
        <v>554</v>
      </c>
      <c r="G33" s="28">
        <v>44949</v>
      </c>
      <c r="H33" s="29" t="s">
        <v>1052</v>
      </c>
      <c r="I33" s="30" t="s">
        <v>1053</v>
      </c>
      <c r="J33" s="37"/>
      <c r="K33" s="38"/>
      <c r="L33" s="34"/>
      <c r="M33" s="37"/>
      <c r="N33" s="38"/>
      <c r="O33" s="34"/>
      <c r="P33" s="37"/>
      <c r="Q33" s="38"/>
      <c r="R33" s="34"/>
      <c r="S33" s="37"/>
      <c r="T33" s="38"/>
      <c r="U33" s="34"/>
      <c r="V33" s="37"/>
      <c r="W33" s="38"/>
      <c r="X33" s="34"/>
      <c r="Y33" s="37"/>
      <c r="Z33" s="38"/>
      <c r="AA33" s="34"/>
    </row>
    <row r="34" spans="2:27" s="31" customFormat="1" ht="52">
      <c r="B34" s="24">
        <f>IF($C$12:C34&lt;&gt;"",COUNTA($C$12:C34),"")</f>
        <v>23</v>
      </c>
      <c r="C34" s="25" t="s">
        <v>968</v>
      </c>
      <c r="D34" s="25"/>
      <c r="E34" s="25" t="s">
        <v>566</v>
      </c>
      <c r="F34" s="36" t="s">
        <v>554</v>
      </c>
      <c r="G34" s="28">
        <v>44949</v>
      </c>
      <c r="H34" s="29" t="s">
        <v>1052</v>
      </c>
      <c r="I34" s="30" t="s">
        <v>1053</v>
      </c>
      <c r="J34" s="37"/>
      <c r="K34" s="38"/>
      <c r="L34" s="34"/>
      <c r="M34" s="37"/>
      <c r="N34" s="38"/>
      <c r="O34" s="34"/>
      <c r="P34" s="37"/>
      <c r="Q34" s="38"/>
      <c r="R34" s="34"/>
      <c r="S34" s="37"/>
      <c r="T34" s="38"/>
      <c r="U34" s="34"/>
      <c r="V34" s="37"/>
      <c r="W34" s="38"/>
      <c r="X34" s="34"/>
      <c r="Y34" s="37"/>
      <c r="Z34" s="38"/>
      <c r="AA34" s="34"/>
    </row>
    <row r="35" spans="2:27" s="31" customFormat="1" ht="52">
      <c r="B35" s="24">
        <f>IF($C$12:C35&lt;&gt;"",COUNTA($C$12:C35),"")</f>
        <v>24</v>
      </c>
      <c r="C35" s="25" t="s">
        <v>964</v>
      </c>
      <c r="D35" s="25"/>
      <c r="E35" s="25" t="s">
        <v>565</v>
      </c>
      <c r="F35" s="36" t="s">
        <v>554</v>
      </c>
      <c r="G35" s="37">
        <v>44943</v>
      </c>
      <c r="H35" s="38" t="s">
        <v>986</v>
      </c>
      <c r="I35" s="34" t="s">
        <v>941</v>
      </c>
      <c r="J35" s="37"/>
      <c r="K35" s="38"/>
      <c r="L35" s="34"/>
      <c r="M35" s="37"/>
      <c r="N35" s="38"/>
      <c r="O35" s="34"/>
      <c r="P35" s="37"/>
      <c r="Q35" s="38"/>
      <c r="R35" s="34"/>
      <c r="S35" s="37"/>
      <c r="T35" s="38"/>
      <c r="U35" s="34"/>
      <c r="V35" s="37"/>
      <c r="W35" s="38"/>
      <c r="X35" s="34"/>
      <c r="Y35" s="37"/>
      <c r="Z35" s="38"/>
      <c r="AA35" s="34"/>
    </row>
    <row r="36" spans="2:27" s="31" customFormat="1" ht="52">
      <c r="B36" s="24">
        <f>IF($C$12:C36&lt;&gt;"",COUNTA($C$12:C36),"")</f>
        <v>25</v>
      </c>
      <c r="C36" s="25" t="s">
        <v>965</v>
      </c>
      <c r="D36" s="25"/>
      <c r="E36" s="25" t="s">
        <v>565</v>
      </c>
      <c r="F36" s="36" t="s">
        <v>554</v>
      </c>
      <c r="G36" s="37">
        <v>44943</v>
      </c>
      <c r="H36" s="38" t="s">
        <v>986</v>
      </c>
      <c r="I36" s="34" t="s">
        <v>941</v>
      </c>
      <c r="J36" s="37"/>
      <c r="K36" s="38"/>
      <c r="L36" s="34"/>
      <c r="M36" s="37"/>
      <c r="N36" s="38"/>
      <c r="O36" s="34"/>
      <c r="P36" s="37"/>
      <c r="Q36" s="38"/>
      <c r="R36" s="34"/>
      <c r="S36" s="37"/>
      <c r="T36" s="38"/>
      <c r="U36" s="34"/>
      <c r="V36" s="37"/>
      <c r="W36" s="38"/>
      <c r="X36" s="34"/>
      <c r="Y36" s="37"/>
      <c r="Z36" s="38"/>
      <c r="AA36" s="34"/>
    </row>
    <row r="37" spans="2:27" s="31" customFormat="1" ht="52">
      <c r="B37" s="24">
        <f>IF($C$12:C37&lt;&gt;"",COUNTA($C$12:C37),"")</f>
        <v>26</v>
      </c>
      <c r="C37" s="25" t="s">
        <v>963</v>
      </c>
      <c r="D37" s="25"/>
      <c r="E37" s="25" t="s">
        <v>566</v>
      </c>
      <c r="F37" s="36" t="s">
        <v>554</v>
      </c>
      <c r="G37" s="28">
        <v>44949</v>
      </c>
      <c r="H37" s="29" t="s">
        <v>1052</v>
      </c>
      <c r="I37" s="30" t="s">
        <v>1053</v>
      </c>
      <c r="J37" s="37"/>
      <c r="K37" s="38"/>
      <c r="L37" s="34"/>
      <c r="M37" s="37"/>
      <c r="N37" s="38"/>
      <c r="O37" s="34"/>
      <c r="P37" s="37"/>
      <c r="Q37" s="38"/>
      <c r="R37" s="34"/>
      <c r="S37" s="37"/>
      <c r="T37" s="38"/>
      <c r="U37" s="34"/>
      <c r="V37" s="37"/>
      <c r="W37" s="38"/>
      <c r="X37" s="34"/>
      <c r="Y37" s="37"/>
      <c r="Z37" s="38"/>
      <c r="AA37" s="34"/>
    </row>
    <row r="38" spans="2:27" s="31" customFormat="1" ht="52">
      <c r="B38" s="24">
        <f>IF($C$12:C38&lt;&gt;"",COUNTA($C$12:C38),"")</f>
        <v>27</v>
      </c>
      <c r="C38" s="25" t="s">
        <v>969</v>
      </c>
      <c r="D38" s="25"/>
      <c r="E38" s="25" t="s">
        <v>565</v>
      </c>
      <c r="F38" s="36" t="s">
        <v>554</v>
      </c>
      <c r="G38" s="28">
        <v>44949</v>
      </c>
      <c r="H38" s="29" t="s">
        <v>1052</v>
      </c>
      <c r="I38" s="30" t="s">
        <v>1053</v>
      </c>
      <c r="J38" s="37"/>
      <c r="K38" s="38"/>
      <c r="L38" s="34"/>
      <c r="M38" s="37"/>
      <c r="N38" s="38"/>
      <c r="O38" s="34"/>
      <c r="P38" s="37"/>
      <c r="Q38" s="38"/>
      <c r="R38" s="34"/>
      <c r="S38" s="37"/>
      <c r="T38" s="38"/>
      <c r="U38" s="34"/>
      <c r="V38" s="37"/>
      <c r="W38" s="38"/>
      <c r="X38" s="34"/>
      <c r="Y38" s="37"/>
      <c r="Z38" s="38"/>
      <c r="AA38" s="34"/>
    </row>
    <row r="39" spans="2:27" s="31" customFormat="1" ht="52">
      <c r="B39" s="24">
        <f>IF($C$12:C39&lt;&gt;"",COUNTA($C$12:C39),"")</f>
        <v>28</v>
      </c>
      <c r="C39" s="25" t="s">
        <v>970</v>
      </c>
      <c r="D39" s="25"/>
      <c r="E39" s="25" t="s">
        <v>565</v>
      </c>
      <c r="F39" s="36" t="s">
        <v>554</v>
      </c>
      <c r="G39" s="28">
        <v>44949</v>
      </c>
      <c r="H39" s="29" t="s">
        <v>1052</v>
      </c>
      <c r="I39" s="30" t="s">
        <v>1053</v>
      </c>
      <c r="J39" s="37"/>
      <c r="K39" s="38"/>
      <c r="L39" s="34"/>
      <c r="M39" s="37"/>
      <c r="N39" s="38"/>
      <c r="O39" s="34"/>
      <c r="P39" s="37"/>
      <c r="Q39" s="38"/>
      <c r="R39" s="34"/>
      <c r="S39" s="37"/>
      <c r="T39" s="38"/>
      <c r="U39" s="34"/>
      <c r="V39" s="37"/>
      <c r="W39" s="38"/>
      <c r="X39" s="34"/>
      <c r="Y39" s="37"/>
      <c r="Z39" s="38"/>
      <c r="AA39" s="34"/>
    </row>
    <row r="40" spans="2:27" s="31" customFormat="1" ht="52">
      <c r="B40" s="24">
        <f>IF($C$12:C40&lt;&gt;"",COUNTA($C$12:C40),"")</f>
        <v>29</v>
      </c>
      <c r="C40" s="25" t="s">
        <v>971</v>
      </c>
      <c r="D40" s="25"/>
      <c r="E40" s="25" t="s">
        <v>567</v>
      </c>
      <c r="F40" s="36" t="s">
        <v>554</v>
      </c>
      <c r="G40" s="28">
        <v>44949</v>
      </c>
      <c r="H40" s="29" t="s">
        <v>1052</v>
      </c>
      <c r="I40" s="30" t="s">
        <v>1053</v>
      </c>
      <c r="J40" s="37"/>
      <c r="K40" s="38"/>
      <c r="L40" s="34"/>
      <c r="M40" s="37"/>
      <c r="N40" s="38"/>
      <c r="O40" s="34"/>
      <c r="P40" s="37"/>
      <c r="Q40" s="38"/>
      <c r="R40" s="34"/>
      <c r="S40" s="37"/>
      <c r="T40" s="38"/>
      <c r="U40" s="34"/>
      <c r="V40" s="37"/>
      <c r="W40" s="38"/>
      <c r="X40" s="34"/>
      <c r="Y40" s="37"/>
      <c r="Z40" s="38"/>
      <c r="AA40" s="34"/>
    </row>
    <row r="41" spans="2:27" s="31" customFormat="1" ht="52">
      <c r="B41" s="24">
        <f>IF($C$12:C41&lt;&gt;"",COUNTA($C$12:C41),"")</f>
        <v>30</v>
      </c>
      <c r="C41" s="25" t="s">
        <v>972</v>
      </c>
      <c r="D41" s="25"/>
      <c r="E41" s="25" t="s">
        <v>565</v>
      </c>
      <c r="F41" s="36" t="s">
        <v>554</v>
      </c>
      <c r="G41" s="28">
        <v>44949</v>
      </c>
      <c r="H41" s="29" t="s">
        <v>1052</v>
      </c>
      <c r="I41" s="30" t="s">
        <v>1053</v>
      </c>
      <c r="J41" s="37"/>
      <c r="K41" s="38"/>
      <c r="L41" s="34"/>
      <c r="M41" s="37"/>
      <c r="N41" s="38"/>
      <c r="O41" s="34"/>
      <c r="P41" s="37"/>
      <c r="Q41" s="38"/>
      <c r="R41" s="34"/>
      <c r="S41" s="37"/>
      <c r="T41" s="38"/>
      <c r="U41" s="34"/>
      <c r="V41" s="37"/>
      <c r="W41" s="38"/>
      <c r="X41" s="34"/>
      <c r="Y41" s="37"/>
      <c r="Z41" s="38"/>
      <c r="AA41" s="34"/>
    </row>
    <row r="42" spans="2:27" s="31" customFormat="1" ht="52">
      <c r="B42" s="24">
        <f>IF($C$12:C42&lt;&gt;"",COUNTA($C$12:C42),"")</f>
        <v>31</v>
      </c>
      <c r="C42" s="25" t="s">
        <v>973</v>
      </c>
      <c r="D42" s="25"/>
      <c r="E42" s="25" t="s">
        <v>565</v>
      </c>
      <c r="F42" s="36" t="s">
        <v>554</v>
      </c>
      <c r="G42" s="28">
        <v>44949</v>
      </c>
      <c r="H42" s="29" t="s">
        <v>1052</v>
      </c>
      <c r="I42" s="30" t="s">
        <v>1053</v>
      </c>
      <c r="J42" s="37"/>
      <c r="K42" s="38"/>
      <c r="L42" s="34"/>
      <c r="M42" s="37"/>
      <c r="N42" s="38"/>
      <c r="O42" s="34"/>
      <c r="P42" s="37"/>
      <c r="Q42" s="38"/>
      <c r="R42" s="34"/>
      <c r="S42" s="37"/>
      <c r="T42" s="38"/>
      <c r="U42" s="34"/>
      <c r="V42" s="37"/>
      <c r="W42" s="38"/>
      <c r="X42" s="34"/>
      <c r="Y42" s="37"/>
      <c r="Z42" s="38"/>
      <c r="AA42" s="34"/>
    </row>
    <row r="43" spans="2:27" s="31" customFormat="1" ht="52">
      <c r="B43" s="24">
        <f>IF($C$12:C43&lt;&gt;"",COUNTA($C$12:C43),"")</f>
        <v>32</v>
      </c>
      <c r="C43" s="25" t="s">
        <v>974</v>
      </c>
      <c r="D43" s="25"/>
      <c r="E43" s="25" t="s">
        <v>567</v>
      </c>
      <c r="F43" s="36" t="s">
        <v>554</v>
      </c>
      <c r="G43" s="28">
        <v>44949</v>
      </c>
      <c r="H43" s="29" t="s">
        <v>1052</v>
      </c>
      <c r="I43" s="30" t="s">
        <v>1053</v>
      </c>
      <c r="J43" s="37"/>
      <c r="K43" s="38"/>
      <c r="L43" s="34"/>
      <c r="M43" s="37"/>
      <c r="N43" s="38"/>
      <c r="O43" s="34"/>
      <c r="P43" s="37"/>
      <c r="Q43" s="38"/>
      <c r="R43" s="34"/>
      <c r="S43" s="37"/>
      <c r="T43" s="38"/>
      <c r="U43" s="34"/>
      <c r="V43" s="37"/>
      <c r="W43" s="38"/>
      <c r="X43" s="34"/>
      <c r="Y43" s="37"/>
      <c r="Z43" s="38"/>
      <c r="AA43" s="34"/>
    </row>
    <row r="44" spans="2:27" s="31" customFormat="1" ht="52">
      <c r="B44" s="24">
        <f>IF($C$12:C44&lt;&gt;"",COUNTA($C$12:C44),"")</f>
        <v>33</v>
      </c>
      <c r="C44" s="25" t="s">
        <v>975</v>
      </c>
      <c r="D44" s="25"/>
      <c r="E44" s="25" t="s">
        <v>565</v>
      </c>
      <c r="F44" s="36" t="s">
        <v>554</v>
      </c>
      <c r="G44" s="37">
        <v>44950</v>
      </c>
      <c r="H44" s="38" t="s">
        <v>1065</v>
      </c>
      <c r="I44" s="34" t="s">
        <v>1066</v>
      </c>
      <c r="J44" s="37"/>
      <c r="K44" s="38"/>
      <c r="L44" s="34"/>
      <c r="M44" s="37"/>
      <c r="N44" s="38"/>
      <c r="O44" s="34"/>
      <c r="P44" s="37"/>
      <c r="Q44" s="38"/>
      <c r="R44" s="34"/>
      <c r="S44" s="37"/>
      <c r="T44" s="38"/>
      <c r="U44" s="34"/>
      <c r="V44" s="37"/>
      <c r="W44" s="38"/>
      <c r="X44" s="34"/>
      <c r="Y44" s="37"/>
      <c r="Z44" s="38"/>
      <c r="AA44" s="34"/>
    </row>
    <row r="45" spans="2:27" s="31" customFormat="1" ht="52">
      <c r="B45" s="24">
        <f>IF($C$12:C45&lt;&gt;"",COUNTA($C$12:C45),"")</f>
        <v>34</v>
      </c>
      <c r="C45" s="25" t="s">
        <v>976</v>
      </c>
      <c r="D45" s="25"/>
      <c r="E45" s="25" t="s">
        <v>565</v>
      </c>
      <c r="F45" s="36" t="s">
        <v>554</v>
      </c>
      <c r="G45" s="37">
        <v>44950</v>
      </c>
      <c r="H45" s="38" t="s">
        <v>1065</v>
      </c>
      <c r="I45" s="34" t="s">
        <v>1066</v>
      </c>
      <c r="J45" s="37"/>
      <c r="K45" s="38"/>
      <c r="L45" s="34"/>
      <c r="M45" s="37"/>
      <c r="N45" s="38"/>
      <c r="O45" s="34"/>
      <c r="P45" s="37"/>
      <c r="Q45" s="38"/>
      <c r="R45" s="34"/>
      <c r="S45" s="37"/>
      <c r="T45" s="38"/>
      <c r="U45" s="34"/>
      <c r="V45" s="37"/>
      <c r="W45" s="38"/>
      <c r="X45" s="34"/>
      <c r="Y45" s="37"/>
      <c r="Z45" s="38"/>
      <c r="AA45" s="34"/>
    </row>
    <row r="46" spans="2:27" s="31" customFormat="1" ht="52">
      <c r="B46" s="24">
        <f>IF($C$12:C46&lt;&gt;"",COUNTA($C$12:C46),"")</f>
        <v>35</v>
      </c>
      <c r="C46" s="25" t="s">
        <v>977</v>
      </c>
      <c r="D46" s="25"/>
      <c r="E46" s="25" t="s">
        <v>566</v>
      </c>
      <c r="F46" s="36" t="s">
        <v>554</v>
      </c>
      <c r="G46" s="37">
        <v>44950</v>
      </c>
      <c r="H46" s="38" t="s">
        <v>1065</v>
      </c>
      <c r="I46" s="34" t="s">
        <v>1066</v>
      </c>
      <c r="J46" s="37"/>
      <c r="K46" s="38"/>
      <c r="L46" s="34"/>
      <c r="M46" s="37"/>
      <c r="N46" s="38"/>
      <c r="O46" s="34"/>
      <c r="P46" s="37"/>
      <c r="Q46" s="38"/>
      <c r="R46" s="34"/>
      <c r="S46" s="37"/>
      <c r="T46" s="38"/>
      <c r="U46" s="34"/>
      <c r="V46" s="37"/>
      <c r="W46" s="38"/>
      <c r="X46" s="34"/>
      <c r="Y46" s="37"/>
      <c r="Z46" s="38"/>
      <c r="AA46" s="34"/>
    </row>
    <row r="47" spans="2:27" s="31" customFormat="1" ht="52">
      <c r="B47" s="24">
        <f>IF($C$12:C47&lt;&gt;"",COUNTA($C$12:C47),"")</f>
        <v>36</v>
      </c>
      <c r="C47" s="25" t="s">
        <v>978</v>
      </c>
      <c r="D47" s="25"/>
      <c r="E47" s="25" t="s">
        <v>565</v>
      </c>
      <c r="F47" s="36" t="s">
        <v>554</v>
      </c>
      <c r="G47" s="37">
        <v>44950</v>
      </c>
      <c r="H47" s="38" t="s">
        <v>1065</v>
      </c>
      <c r="I47" s="34" t="s">
        <v>1066</v>
      </c>
      <c r="J47" s="37"/>
      <c r="K47" s="38"/>
      <c r="L47" s="34"/>
      <c r="M47" s="37"/>
      <c r="N47" s="38"/>
      <c r="O47" s="34"/>
      <c r="P47" s="37"/>
      <c r="Q47" s="38"/>
      <c r="R47" s="34"/>
      <c r="S47" s="37"/>
      <c r="T47" s="38"/>
      <c r="U47" s="34"/>
      <c r="V47" s="37"/>
      <c r="W47" s="38"/>
      <c r="X47" s="34"/>
      <c r="Y47" s="37"/>
      <c r="Z47" s="38"/>
      <c r="AA47" s="34"/>
    </row>
    <row r="48" spans="2:27" s="31" customFormat="1" ht="52">
      <c r="B48" s="24">
        <f>IF($C$12:C48&lt;&gt;"",COUNTA($C$12:C48),"")</f>
        <v>37</v>
      </c>
      <c r="C48" s="25" t="s">
        <v>979</v>
      </c>
      <c r="D48" s="25"/>
      <c r="E48" s="25" t="s">
        <v>565</v>
      </c>
      <c r="F48" s="36" t="s">
        <v>554</v>
      </c>
      <c r="G48" s="37">
        <v>44950</v>
      </c>
      <c r="H48" s="38" t="s">
        <v>1065</v>
      </c>
      <c r="I48" s="34" t="s">
        <v>1066</v>
      </c>
      <c r="J48" s="37"/>
      <c r="K48" s="38"/>
      <c r="L48" s="34"/>
      <c r="M48" s="37"/>
      <c r="N48" s="38"/>
      <c r="O48" s="34"/>
      <c r="P48" s="37"/>
      <c r="Q48" s="38"/>
      <c r="R48" s="34"/>
      <c r="S48" s="37"/>
      <c r="T48" s="38"/>
      <c r="U48" s="34"/>
      <c r="V48" s="37"/>
      <c r="W48" s="38"/>
      <c r="X48" s="34"/>
      <c r="Y48" s="37"/>
      <c r="Z48" s="38"/>
      <c r="AA48" s="34"/>
    </row>
    <row r="49" spans="2:27" s="31" customFormat="1" ht="52">
      <c r="B49" s="24">
        <f>IF($C$12:C49&lt;&gt;"",COUNTA($C$12:C49),"")</f>
        <v>38</v>
      </c>
      <c r="C49" s="25" t="s">
        <v>980</v>
      </c>
      <c r="D49" s="25"/>
      <c r="E49" s="25" t="s">
        <v>567</v>
      </c>
      <c r="F49" s="36" t="s">
        <v>554</v>
      </c>
      <c r="G49" s="37">
        <v>44950</v>
      </c>
      <c r="H49" s="38" t="s">
        <v>1065</v>
      </c>
      <c r="I49" s="34" t="s">
        <v>1066</v>
      </c>
      <c r="J49" s="37"/>
      <c r="K49" s="38"/>
      <c r="L49" s="34"/>
      <c r="M49" s="37"/>
      <c r="N49" s="38"/>
      <c r="O49" s="34"/>
      <c r="P49" s="37"/>
      <c r="Q49" s="38"/>
      <c r="R49" s="34"/>
      <c r="S49" s="37"/>
      <c r="T49" s="38"/>
      <c r="U49" s="34"/>
      <c r="V49" s="37"/>
      <c r="W49" s="38"/>
      <c r="X49" s="34"/>
      <c r="Y49" s="37"/>
      <c r="Z49" s="38"/>
      <c r="AA49" s="34"/>
    </row>
    <row r="50" spans="2:27" s="31" customFormat="1" ht="52">
      <c r="B50" s="24">
        <f>IF($C$12:C50&lt;&gt;"",COUNTA($C$12:C50),"")</f>
        <v>39</v>
      </c>
      <c r="C50" s="25" t="s">
        <v>981</v>
      </c>
      <c r="D50" s="25"/>
      <c r="E50" s="25" t="s">
        <v>565</v>
      </c>
      <c r="F50" s="36" t="s">
        <v>554</v>
      </c>
      <c r="G50" s="37">
        <v>44950</v>
      </c>
      <c r="H50" s="38" t="s">
        <v>1065</v>
      </c>
      <c r="I50" s="34" t="s">
        <v>1066</v>
      </c>
      <c r="J50" s="37"/>
      <c r="K50" s="38"/>
      <c r="L50" s="34"/>
      <c r="M50" s="37"/>
      <c r="N50" s="38"/>
      <c r="O50" s="34"/>
      <c r="P50" s="37"/>
      <c r="Q50" s="38"/>
      <c r="R50" s="34"/>
      <c r="S50" s="37"/>
      <c r="T50" s="38"/>
      <c r="U50" s="34"/>
      <c r="V50" s="37"/>
      <c r="W50" s="38"/>
      <c r="X50" s="34"/>
      <c r="Y50" s="37"/>
      <c r="Z50" s="38"/>
      <c r="AA50" s="34"/>
    </row>
    <row r="51" spans="2:27" s="31" customFormat="1" ht="52">
      <c r="B51" s="24">
        <f>IF($C$12:C51&lt;&gt;"",COUNTA($C$12:C51),"")</f>
        <v>40</v>
      </c>
      <c r="C51" s="25" t="s">
        <v>982</v>
      </c>
      <c r="D51" s="25"/>
      <c r="E51" s="25" t="s">
        <v>565</v>
      </c>
      <c r="F51" s="36" t="s">
        <v>554</v>
      </c>
      <c r="G51" s="37">
        <v>44950</v>
      </c>
      <c r="H51" s="38" t="s">
        <v>1065</v>
      </c>
      <c r="I51" s="34" t="s">
        <v>1066</v>
      </c>
      <c r="J51" s="37"/>
      <c r="K51" s="38"/>
      <c r="L51" s="34"/>
      <c r="M51" s="37"/>
      <c r="N51" s="38"/>
      <c r="O51" s="34"/>
      <c r="P51" s="37"/>
      <c r="Q51" s="38"/>
      <c r="R51" s="34"/>
      <c r="S51" s="37"/>
      <c r="T51" s="38"/>
      <c r="U51" s="34"/>
      <c r="V51" s="37"/>
      <c r="W51" s="38"/>
      <c r="X51" s="34"/>
      <c r="Y51" s="37"/>
      <c r="Z51" s="38"/>
      <c r="AA51" s="34"/>
    </row>
    <row r="52" spans="2:27" s="31" customFormat="1" ht="52">
      <c r="B52" s="24">
        <f>IF($C$12:C52&lt;&gt;"",COUNTA($C$12:C52),"")</f>
        <v>41</v>
      </c>
      <c r="C52" s="25" t="s">
        <v>983</v>
      </c>
      <c r="D52" s="25"/>
      <c r="E52" s="25" t="s">
        <v>566</v>
      </c>
      <c r="F52" s="36" t="s">
        <v>554</v>
      </c>
      <c r="G52" s="37">
        <v>44950</v>
      </c>
      <c r="H52" s="38" t="s">
        <v>1065</v>
      </c>
      <c r="I52" s="34" t="s">
        <v>1066</v>
      </c>
      <c r="J52" s="37"/>
      <c r="K52" s="38"/>
      <c r="L52" s="34"/>
      <c r="M52" s="37"/>
      <c r="N52" s="38"/>
      <c r="O52" s="34"/>
      <c r="P52" s="37"/>
      <c r="Q52" s="38"/>
      <c r="R52" s="34"/>
      <c r="S52" s="37"/>
      <c r="T52" s="38"/>
      <c r="U52" s="34"/>
      <c r="V52" s="37"/>
      <c r="W52" s="38"/>
      <c r="X52" s="34"/>
      <c r="Y52" s="37"/>
      <c r="Z52" s="38"/>
      <c r="AA52" s="34"/>
    </row>
    <row r="53" spans="2:27" s="31" customFormat="1">
      <c r="B53" s="24" t="str">
        <f>IF($C$12:C53&lt;&gt;"",COUNTA($C$12:C53),"")</f>
        <v/>
      </c>
      <c r="C53" s="25"/>
      <c r="D53" s="25"/>
      <c r="E53" s="25"/>
      <c r="F53" s="36"/>
      <c r="G53" s="37"/>
      <c r="H53" s="38"/>
      <c r="I53" s="34"/>
      <c r="J53" s="37"/>
      <c r="K53" s="38"/>
      <c r="L53" s="34"/>
      <c r="M53" s="37"/>
      <c r="N53" s="38"/>
      <c r="O53" s="34"/>
      <c r="P53" s="37"/>
      <c r="Q53" s="38"/>
      <c r="R53" s="34"/>
      <c r="S53" s="37"/>
      <c r="T53" s="38"/>
      <c r="U53" s="34"/>
      <c r="V53" s="37"/>
      <c r="W53" s="38"/>
      <c r="X53" s="34"/>
      <c r="Y53" s="37"/>
      <c r="Z53" s="38"/>
      <c r="AA53" s="34"/>
    </row>
    <row r="54" spans="2:27">
      <c r="B54" s="172" t="s">
        <v>555</v>
      </c>
      <c r="C54" s="173"/>
      <c r="D54" s="173"/>
      <c r="E54" s="173"/>
      <c r="F54" s="173"/>
      <c r="G54" s="23"/>
      <c r="H54" s="23"/>
      <c r="I54" s="23"/>
      <c r="J54" s="23"/>
      <c r="K54" s="23"/>
      <c r="L54" s="23"/>
      <c r="M54" s="23"/>
      <c r="N54" s="23"/>
      <c r="O54" s="23"/>
      <c r="P54" s="23"/>
      <c r="Q54" s="23"/>
      <c r="R54" s="23"/>
      <c r="S54" s="23"/>
      <c r="T54" s="23"/>
      <c r="U54" s="23"/>
      <c r="V54" s="23"/>
      <c r="W54" s="23"/>
      <c r="X54" s="23"/>
      <c r="Y54" s="23"/>
      <c r="Z54" s="23"/>
      <c r="AA54" s="23"/>
    </row>
    <row r="55" spans="2:27" s="31" customFormat="1" ht="58" customHeight="1">
      <c r="B55" s="24">
        <f>IF($C$12:C55&lt;&gt;"",COUNTA($C$12:C55),"")</f>
        <v>42</v>
      </c>
      <c r="C55" s="25" t="s">
        <v>560</v>
      </c>
      <c r="D55" s="26" t="s">
        <v>558</v>
      </c>
      <c r="E55" s="26" t="s">
        <v>559</v>
      </c>
      <c r="F55" s="27" t="s">
        <v>554</v>
      </c>
      <c r="G55" s="28">
        <v>44949</v>
      </c>
      <c r="H55" s="29" t="s">
        <v>1052</v>
      </c>
      <c r="I55" s="30" t="s">
        <v>1053</v>
      </c>
      <c r="J55" s="28"/>
      <c r="K55" s="29"/>
      <c r="L55" s="30"/>
      <c r="M55" s="28"/>
      <c r="N55" s="29"/>
      <c r="O55" s="30"/>
      <c r="P55" s="28"/>
      <c r="Q55" s="29"/>
      <c r="R55" s="30"/>
      <c r="S55" s="28"/>
      <c r="T55" s="29"/>
      <c r="U55" s="30"/>
      <c r="V55" s="28"/>
      <c r="W55" s="29"/>
      <c r="X55" s="30"/>
      <c r="Y55" s="28"/>
      <c r="Z55" s="29"/>
      <c r="AA55" s="30"/>
    </row>
    <row r="56" spans="2:27" s="31" customFormat="1" ht="39">
      <c r="B56" s="24">
        <f>IF($C$12:C56&lt;&gt;"",COUNTA($C$12:C56),"")</f>
        <v>43</v>
      </c>
      <c r="C56" s="25" t="s">
        <v>561</v>
      </c>
      <c r="D56" s="26"/>
      <c r="E56" s="26" t="s">
        <v>559</v>
      </c>
      <c r="F56" s="27" t="s">
        <v>554</v>
      </c>
      <c r="G56" s="28">
        <v>44949</v>
      </c>
      <c r="H56" s="29" t="s">
        <v>1052</v>
      </c>
      <c r="I56" s="30" t="s">
        <v>1053</v>
      </c>
      <c r="J56" s="28"/>
      <c r="K56" s="29"/>
      <c r="L56" s="30"/>
      <c r="M56" s="28"/>
      <c r="N56" s="29"/>
      <c r="O56" s="30"/>
      <c r="P56" s="28"/>
      <c r="Q56" s="29"/>
      <c r="R56" s="30"/>
      <c r="S56" s="28"/>
      <c r="T56" s="29"/>
      <c r="U56" s="30"/>
      <c r="V56" s="28"/>
      <c r="W56" s="29"/>
      <c r="X56" s="30"/>
      <c r="Y56" s="28"/>
      <c r="Z56" s="29"/>
      <c r="AA56" s="30"/>
    </row>
    <row r="57" spans="2:27" s="31" customFormat="1" ht="39">
      <c r="B57" s="24">
        <f>IF($C$12:C57&lt;&gt;"",COUNTA($C$12:C57),"")</f>
        <v>44</v>
      </c>
      <c r="C57" s="25" t="s">
        <v>562</v>
      </c>
      <c r="D57" s="26"/>
      <c r="E57" s="26" t="s">
        <v>563</v>
      </c>
      <c r="F57" s="27" t="s">
        <v>554</v>
      </c>
      <c r="G57" s="28">
        <v>44949</v>
      </c>
      <c r="H57" s="29" t="s">
        <v>1052</v>
      </c>
      <c r="I57" s="30" t="s">
        <v>1053</v>
      </c>
      <c r="J57" s="28"/>
      <c r="K57" s="29"/>
      <c r="L57" s="30"/>
      <c r="M57" s="28"/>
      <c r="N57" s="29"/>
      <c r="O57" s="30"/>
      <c r="P57" s="28"/>
      <c r="Q57" s="29"/>
      <c r="R57" s="30"/>
      <c r="S57" s="28"/>
      <c r="T57" s="29"/>
      <c r="U57" s="30"/>
      <c r="V57" s="28"/>
      <c r="W57" s="29"/>
      <c r="X57" s="30"/>
      <c r="Y57" s="28"/>
      <c r="Z57" s="29"/>
      <c r="AA57" s="30"/>
    </row>
    <row r="58" spans="2:27" s="31" customFormat="1" ht="52">
      <c r="B58" s="24">
        <f>IF($C$12:C58&lt;&gt;"",COUNTA($C$12:C58),"")</f>
        <v>45</v>
      </c>
      <c r="C58" s="25" t="s">
        <v>568</v>
      </c>
      <c r="D58" s="26" t="s">
        <v>564</v>
      </c>
      <c r="E58" s="26" t="s">
        <v>559</v>
      </c>
      <c r="F58" s="27" t="s">
        <v>554</v>
      </c>
      <c r="G58" s="37">
        <v>44950</v>
      </c>
      <c r="H58" s="38" t="s">
        <v>1065</v>
      </c>
      <c r="I58" s="34" t="s">
        <v>1066</v>
      </c>
      <c r="J58" s="28"/>
      <c r="K58" s="29"/>
      <c r="L58" s="30"/>
      <c r="M58" s="28"/>
      <c r="N58" s="29"/>
      <c r="O58" s="30"/>
      <c r="P58" s="28"/>
      <c r="Q58" s="29"/>
      <c r="R58" s="30"/>
      <c r="S58" s="28"/>
      <c r="T58" s="29"/>
      <c r="U58" s="30"/>
      <c r="V58" s="28"/>
      <c r="W58" s="29"/>
      <c r="X58" s="30"/>
      <c r="Y58" s="28"/>
      <c r="Z58" s="29"/>
      <c r="AA58" s="30"/>
    </row>
    <row r="59" spans="2:27" s="31" customFormat="1" ht="39">
      <c r="B59" s="24">
        <f>IF($C$12:C59&lt;&gt;"",COUNTA($C$12:C59),"")</f>
        <v>46</v>
      </c>
      <c r="C59" s="25" t="s">
        <v>569</v>
      </c>
      <c r="D59" s="26"/>
      <c r="E59" s="26" t="s">
        <v>559</v>
      </c>
      <c r="F59" s="27" t="s">
        <v>554</v>
      </c>
      <c r="G59" s="37">
        <v>44950</v>
      </c>
      <c r="H59" s="38" t="s">
        <v>1065</v>
      </c>
      <c r="I59" s="34" t="s">
        <v>1066</v>
      </c>
      <c r="J59" s="28"/>
      <c r="K59" s="29"/>
      <c r="L59" s="30"/>
      <c r="M59" s="28"/>
      <c r="N59" s="29"/>
      <c r="O59" s="30"/>
      <c r="P59" s="28"/>
      <c r="Q59" s="29"/>
      <c r="R59" s="30"/>
      <c r="S59" s="28"/>
      <c r="T59" s="29"/>
      <c r="U59" s="30"/>
      <c r="V59" s="28"/>
      <c r="W59" s="29"/>
      <c r="X59" s="30"/>
      <c r="Y59" s="28"/>
      <c r="Z59" s="29"/>
      <c r="AA59" s="30"/>
    </row>
    <row r="60" spans="2:27" s="31" customFormat="1" ht="39">
      <c r="B60" s="24">
        <f>IF($C$12:C60&lt;&gt;"",COUNTA($C$12:C60),"")</f>
        <v>47</v>
      </c>
      <c r="C60" s="25" t="s">
        <v>570</v>
      </c>
      <c r="D60" s="26"/>
      <c r="E60" s="26" t="s">
        <v>563</v>
      </c>
      <c r="F60" s="27" t="s">
        <v>554</v>
      </c>
      <c r="G60" s="37">
        <v>44950</v>
      </c>
      <c r="H60" s="38" t="s">
        <v>1065</v>
      </c>
      <c r="I60" s="34" t="s">
        <v>1066</v>
      </c>
      <c r="J60" s="28"/>
      <c r="K60" s="29"/>
      <c r="L60" s="30"/>
      <c r="M60" s="28"/>
      <c r="N60" s="29"/>
      <c r="O60" s="30"/>
      <c r="P60" s="28"/>
      <c r="Q60" s="29"/>
      <c r="R60" s="30"/>
      <c r="S60" s="28"/>
      <c r="T60" s="29"/>
      <c r="U60" s="30"/>
      <c r="V60" s="28"/>
      <c r="W60" s="29"/>
      <c r="X60" s="30"/>
      <c r="Y60" s="28"/>
      <c r="Z60" s="29"/>
      <c r="AA60" s="30"/>
    </row>
    <row r="61" spans="2:27" s="31" customFormat="1" ht="52">
      <c r="B61" s="24">
        <f>IF($C$12:C61&lt;&gt;"",COUNTA($C$12:C61),"")</f>
        <v>48</v>
      </c>
      <c r="C61" s="25" t="s">
        <v>571</v>
      </c>
      <c r="D61" s="26" t="s">
        <v>564</v>
      </c>
      <c r="E61" s="26" t="s">
        <v>559</v>
      </c>
      <c r="F61" s="27" t="s">
        <v>554</v>
      </c>
      <c r="G61" s="37">
        <v>44950</v>
      </c>
      <c r="H61" s="38" t="s">
        <v>1065</v>
      </c>
      <c r="I61" s="34" t="s">
        <v>1066</v>
      </c>
      <c r="J61" s="28"/>
      <c r="K61" s="29"/>
      <c r="L61" s="30"/>
      <c r="M61" s="28"/>
      <c r="N61" s="29"/>
      <c r="O61" s="30"/>
      <c r="P61" s="28"/>
      <c r="Q61" s="29"/>
      <c r="R61" s="30"/>
      <c r="S61" s="28"/>
      <c r="T61" s="29"/>
      <c r="U61" s="30"/>
      <c r="V61" s="28"/>
      <c r="W61" s="29"/>
      <c r="X61" s="30"/>
      <c r="Y61" s="28"/>
      <c r="Z61" s="29"/>
      <c r="AA61" s="30"/>
    </row>
    <row r="62" spans="2:27" s="31" customFormat="1" ht="39">
      <c r="B62" s="24">
        <f>IF($C$12:C62&lt;&gt;"",COUNTA($C$12:C62),"")</f>
        <v>49</v>
      </c>
      <c r="C62" s="25" t="s">
        <v>572</v>
      </c>
      <c r="D62" s="26"/>
      <c r="E62" s="26" t="s">
        <v>559</v>
      </c>
      <c r="F62" s="27" t="s">
        <v>554</v>
      </c>
      <c r="G62" s="37">
        <v>44950</v>
      </c>
      <c r="H62" s="38" t="s">
        <v>1065</v>
      </c>
      <c r="I62" s="34" t="s">
        <v>1066</v>
      </c>
      <c r="J62" s="28"/>
      <c r="K62" s="29"/>
      <c r="L62" s="30"/>
      <c r="M62" s="28"/>
      <c r="N62" s="29"/>
      <c r="O62" s="30"/>
      <c r="P62" s="28"/>
      <c r="Q62" s="29"/>
      <c r="R62" s="30"/>
      <c r="S62" s="28"/>
      <c r="T62" s="29"/>
      <c r="U62" s="30"/>
      <c r="V62" s="28"/>
      <c r="W62" s="29"/>
      <c r="X62" s="30"/>
      <c r="Y62" s="28"/>
      <c r="Z62" s="29"/>
      <c r="AA62" s="30"/>
    </row>
    <row r="63" spans="2:27" s="31" customFormat="1" ht="39">
      <c r="B63" s="24">
        <f>IF($C$12:C63&lt;&gt;"",COUNTA($C$12:C63),"")</f>
        <v>50</v>
      </c>
      <c r="C63" s="25" t="s">
        <v>573</v>
      </c>
      <c r="D63" s="26"/>
      <c r="E63" s="26" t="s">
        <v>563</v>
      </c>
      <c r="F63" s="27" t="s">
        <v>554</v>
      </c>
      <c r="G63" s="37">
        <v>44950</v>
      </c>
      <c r="H63" s="38" t="s">
        <v>1065</v>
      </c>
      <c r="I63" s="34" t="s">
        <v>1066</v>
      </c>
      <c r="J63" s="28"/>
      <c r="K63" s="29"/>
      <c r="L63" s="30"/>
      <c r="M63" s="28"/>
      <c r="N63" s="29"/>
      <c r="O63" s="30"/>
      <c r="P63" s="28"/>
      <c r="Q63" s="29"/>
      <c r="R63" s="30"/>
      <c r="S63" s="28"/>
      <c r="T63" s="29"/>
      <c r="U63" s="30"/>
      <c r="V63" s="28"/>
      <c r="W63" s="29"/>
      <c r="X63" s="30"/>
      <c r="Y63" s="28"/>
      <c r="Z63" s="29"/>
      <c r="AA63" s="30"/>
    </row>
    <row r="64" spans="2:27" s="31" customFormat="1">
      <c r="B64" s="24" t="str">
        <f>IF($C$12:C64&lt;&gt;"",COUNTA($C$12:C64),"")</f>
        <v/>
      </c>
      <c r="C64" s="25"/>
      <c r="D64" s="26"/>
      <c r="E64" s="26"/>
      <c r="F64" s="27"/>
      <c r="G64" s="28"/>
      <c r="H64" s="29"/>
      <c r="I64" s="30"/>
      <c r="J64" s="28"/>
      <c r="K64" s="29"/>
      <c r="L64" s="30"/>
      <c r="M64" s="28"/>
      <c r="N64" s="29"/>
      <c r="O64" s="30"/>
      <c r="P64" s="28"/>
      <c r="Q64" s="29"/>
      <c r="R64" s="30"/>
      <c r="S64" s="28"/>
      <c r="T64" s="29"/>
      <c r="U64" s="30"/>
      <c r="V64" s="28"/>
      <c r="W64" s="29"/>
      <c r="X64" s="30"/>
      <c r="Y64" s="28"/>
      <c r="Z64" s="29"/>
      <c r="AA64" s="30"/>
    </row>
    <row r="65" spans="2:27" s="31" customFormat="1">
      <c r="B65" s="24" t="str">
        <f>IF($C$12:C65&lt;&gt;"",COUNTA($C$12:C65),"")</f>
        <v/>
      </c>
      <c r="C65" s="25"/>
      <c r="D65" s="26"/>
      <c r="E65" s="26"/>
      <c r="F65" s="27"/>
      <c r="G65" s="28"/>
      <c r="H65" s="29"/>
      <c r="I65" s="30"/>
      <c r="J65" s="28"/>
      <c r="K65" s="29"/>
      <c r="L65" s="30"/>
      <c r="M65" s="28"/>
      <c r="N65" s="29"/>
      <c r="O65" s="30"/>
      <c r="P65" s="28"/>
      <c r="Q65" s="29"/>
      <c r="R65" s="30"/>
      <c r="S65" s="28"/>
      <c r="T65" s="29"/>
      <c r="U65" s="30"/>
      <c r="V65" s="28"/>
      <c r="W65" s="29"/>
      <c r="X65" s="30"/>
      <c r="Y65" s="28"/>
      <c r="Z65" s="29"/>
      <c r="AA65" s="30"/>
    </row>
    <row r="66" spans="2:27" s="31" customFormat="1">
      <c r="B66" s="24" t="str">
        <f>IF($C$12:C66&lt;&gt;"",COUNTA($C$12:C66),"")</f>
        <v/>
      </c>
      <c r="C66" s="25"/>
      <c r="D66" s="26"/>
      <c r="E66" s="26"/>
      <c r="F66" s="27"/>
      <c r="G66" s="28"/>
      <c r="H66" s="29"/>
      <c r="I66" s="30"/>
      <c r="J66" s="28"/>
      <c r="K66" s="29"/>
      <c r="L66" s="30"/>
      <c r="M66" s="28"/>
      <c r="N66" s="29"/>
      <c r="O66" s="30"/>
      <c r="P66" s="28"/>
      <c r="Q66" s="29"/>
      <c r="R66" s="30"/>
      <c r="S66" s="28"/>
      <c r="T66" s="29"/>
      <c r="U66" s="30"/>
      <c r="V66" s="28"/>
      <c r="W66" s="29"/>
      <c r="X66" s="30"/>
      <c r="Y66" s="28"/>
      <c r="Z66" s="29"/>
      <c r="AA66" s="30"/>
    </row>
    <row r="67" spans="2:27" s="31" customFormat="1">
      <c r="B67" s="24" t="str">
        <f>IF($C$12:C67&lt;&gt;"",COUNTA($C$12:C67),"")</f>
        <v/>
      </c>
      <c r="C67" s="25"/>
      <c r="D67" s="26"/>
      <c r="E67" s="26"/>
      <c r="F67" s="27"/>
      <c r="G67" s="28"/>
      <c r="H67" s="29"/>
      <c r="I67" s="30"/>
      <c r="J67" s="28"/>
      <c r="K67" s="29"/>
      <c r="L67" s="30"/>
      <c r="M67" s="28"/>
      <c r="N67" s="29"/>
      <c r="O67" s="30"/>
      <c r="P67" s="28"/>
      <c r="Q67" s="29"/>
      <c r="R67" s="30"/>
      <c r="S67" s="28"/>
      <c r="T67" s="29"/>
      <c r="U67" s="30"/>
      <c r="V67" s="28"/>
      <c r="W67" s="29"/>
      <c r="X67" s="30"/>
      <c r="Y67" s="28"/>
      <c r="Z67" s="29"/>
      <c r="AA67" s="30"/>
    </row>
  </sheetData>
  <autoFilter ref="B10:AB67"/>
  <mergeCells count="12">
    <mergeCell ref="B54:F54"/>
    <mergeCell ref="V9:X9"/>
    <mergeCell ref="Y9:AA9"/>
    <mergeCell ref="B11:F11"/>
    <mergeCell ref="C8:F9"/>
    <mergeCell ref="V8:AA8"/>
    <mergeCell ref="G8:U8"/>
    <mergeCell ref="G9:I9"/>
    <mergeCell ref="J9:L9"/>
    <mergeCell ref="M9:O9"/>
    <mergeCell ref="P9:R9"/>
    <mergeCell ref="S9:U9"/>
  </mergeCells>
  <phoneticPr fontId="7"/>
  <conditionalFormatting sqref="B12 S12:U12 C67:U67 B15 D12:F12 S21:U22 S24:U26 D15:E15 J15:L15 J12:L13 D59:D60 F35 F52:F53 F44 F55:F65 B64:E65 B66:AA66 B40 C37:F38 J37:AA38 C50:F51 C45:F46 J45:AA46 J50:AA51">
    <cfRule type="expression" dxfId="1239" priority="3268" stopIfTrue="1">
      <formula>IF($F12="低",1,0)</formula>
    </cfRule>
  </conditionalFormatting>
  <conditionalFormatting sqref="F12 F35 F50:F53 F55:F67 F37:F40 F44:F46">
    <cfRule type="expression" dxfId="1238" priority="3267" stopIfTrue="1">
      <formula>IF($F12="高",1,0)</formula>
    </cfRule>
  </conditionalFormatting>
  <conditionalFormatting sqref="B67">
    <cfRule type="expression" dxfId="1237" priority="3251" stopIfTrue="1">
      <formula>IF($F67="低",1,0)</formula>
    </cfRule>
  </conditionalFormatting>
  <conditionalFormatting sqref="M12:O12">
    <cfRule type="expression" dxfId="1236" priority="2928" stopIfTrue="1">
      <formula>IF($F12="低",1,0)</formula>
    </cfRule>
  </conditionalFormatting>
  <conditionalFormatting sqref="B21 P21:R21">
    <cfRule type="expression" dxfId="1235" priority="2876" stopIfTrue="1">
      <formula>IF($F21="低",1,0)</formula>
    </cfRule>
  </conditionalFormatting>
  <conditionalFormatting sqref="P15:R15">
    <cfRule type="expression" dxfId="1234" priority="2441" stopIfTrue="1">
      <formula>IF($F15="低",1,0)</formula>
    </cfRule>
  </conditionalFormatting>
  <conditionalFormatting sqref="P12:R12">
    <cfRule type="expression" dxfId="1233" priority="2442" stopIfTrue="1">
      <formula>IF($F12="低",1,0)</formula>
    </cfRule>
  </conditionalFormatting>
  <conditionalFormatting sqref="B13">
    <cfRule type="expression" dxfId="1232" priority="2312" stopIfTrue="1">
      <formula>IF($F13="低",1,0)</formula>
    </cfRule>
  </conditionalFormatting>
  <conditionalFormatting sqref="P13:R13">
    <cfRule type="expression" dxfId="1231" priority="2308" stopIfTrue="1">
      <formula>IF($F13="低",1,0)</formula>
    </cfRule>
  </conditionalFormatting>
  <conditionalFormatting sqref="B16">
    <cfRule type="expression" dxfId="1230" priority="2306" stopIfTrue="1">
      <formula>IF($F16="低",1,0)</formula>
    </cfRule>
  </conditionalFormatting>
  <conditionalFormatting sqref="P16:R16">
    <cfRule type="expression" dxfId="1229" priority="2302" stopIfTrue="1">
      <formula>IF($F16="低",1,0)</formula>
    </cfRule>
  </conditionalFormatting>
  <conditionalFormatting sqref="M13:O13">
    <cfRule type="expression" dxfId="1228" priority="2310" stopIfTrue="1">
      <formula>IF($F13="低",1,0)</formula>
    </cfRule>
  </conditionalFormatting>
  <conditionalFormatting sqref="B22 B24">
    <cfRule type="expression" dxfId="1227" priority="2297" stopIfTrue="1">
      <formula>IF($F22="低",1,0)</formula>
    </cfRule>
  </conditionalFormatting>
  <conditionalFormatting sqref="P22:R22 P24:R24">
    <cfRule type="expression" dxfId="1226" priority="2293" stopIfTrue="1">
      <formula>IF($F22="低",1,0)</formula>
    </cfRule>
  </conditionalFormatting>
  <conditionalFormatting sqref="B26">
    <cfRule type="expression" dxfId="1225" priority="2282" stopIfTrue="1">
      <formula>IF($F26="低",1,0)</formula>
    </cfRule>
  </conditionalFormatting>
  <conditionalFormatting sqref="D24">
    <cfRule type="expression" dxfId="1224" priority="2292" stopIfTrue="1">
      <formula>IF($F24="低",1,0)</formula>
    </cfRule>
  </conditionalFormatting>
  <conditionalFormatting sqref="E24">
    <cfRule type="expression" dxfId="1223" priority="2291" stopIfTrue="1">
      <formula>IF($F24="低",1,0)</formula>
    </cfRule>
  </conditionalFormatting>
  <conditionalFormatting sqref="B25 P25:R25">
    <cfRule type="expression" dxfId="1222" priority="2286" stopIfTrue="1">
      <formula>IF($F25="低",1,0)</formula>
    </cfRule>
  </conditionalFormatting>
  <conditionalFormatting sqref="P26:R26">
    <cfRule type="expression" dxfId="1221" priority="2278" stopIfTrue="1">
      <formula>IF($F26="低",1,0)</formula>
    </cfRule>
  </conditionalFormatting>
  <conditionalFormatting sqref="J16:L16">
    <cfRule type="expression" dxfId="1220" priority="2165" stopIfTrue="1">
      <formula>IF($F16="低",1,0)</formula>
    </cfRule>
  </conditionalFormatting>
  <conditionalFormatting sqref="S13:U13">
    <cfRule type="expression" dxfId="1219" priority="2162" stopIfTrue="1">
      <formula>IF($F13="低",1,0)</formula>
    </cfRule>
  </conditionalFormatting>
  <conditionalFormatting sqref="J21:L22 J24:L26">
    <cfRule type="expression" dxfId="1218" priority="2164" stopIfTrue="1">
      <formula>IF($F21="低",1,0)</formula>
    </cfRule>
  </conditionalFormatting>
  <conditionalFormatting sqref="S15:U16">
    <cfRule type="expression" dxfId="1217" priority="2160" stopIfTrue="1">
      <formula>IF($F15="低",1,0)</formula>
    </cfRule>
  </conditionalFormatting>
  <conditionalFormatting sqref="B55 J55:L55 P55:U55">
    <cfRule type="expression" dxfId="1216" priority="2071" stopIfTrue="1">
      <formula>IF($F55="低",1,0)</formula>
    </cfRule>
  </conditionalFormatting>
  <conditionalFormatting sqref="P18:R18">
    <cfRule type="expression" dxfId="1215" priority="1860" stopIfTrue="1">
      <formula>IF($F18="低",1,0)</formula>
    </cfRule>
  </conditionalFormatting>
  <conditionalFormatting sqref="J18:L18 B18 D18">
    <cfRule type="expression" dxfId="1214" priority="1862" stopIfTrue="1">
      <formula>IF($F18="低",1,0)</formula>
    </cfRule>
  </conditionalFormatting>
  <conditionalFormatting sqref="J27:L29 J53:L53 J31:L31">
    <cfRule type="expression" dxfId="1213" priority="1817" stopIfTrue="1">
      <formula>IF($F27="低",1,0)</formula>
    </cfRule>
  </conditionalFormatting>
  <conditionalFormatting sqref="I13">
    <cfRule type="expression" dxfId="1212" priority="1863" stopIfTrue="1">
      <formula>IF($F13="低",1,0)</formula>
    </cfRule>
  </conditionalFormatting>
  <conditionalFormatting sqref="B19">
    <cfRule type="expression" dxfId="1211" priority="1859" stopIfTrue="1">
      <formula>IF($F19="低",1,0)</formula>
    </cfRule>
  </conditionalFormatting>
  <conditionalFormatting sqref="P19:R19">
    <cfRule type="expression" dxfId="1210" priority="1857" stopIfTrue="1">
      <formula>IF($F19="低",1,0)</formula>
    </cfRule>
  </conditionalFormatting>
  <conditionalFormatting sqref="J19:L19">
    <cfRule type="expression" dxfId="1209" priority="1854" stopIfTrue="1">
      <formula>IF($F19="低",1,0)</formula>
    </cfRule>
  </conditionalFormatting>
  <conditionalFormatting sqref="S18:U19">
    <cfRule type="expression" dxfId="1208" priority="1853" stopIfTrue="1">
      <formula>IF($F18="低",1,0)</formula>
    </cfRule>
  </conditionalFormatting>
  <conditionalFormatting sqref="E27:E29 E53 E31">
    <cfRule type="expression" dxfId="1207" priority="1819" stopIfTrue="1">
      <formula>IF($F27="低",1,0)</formula>
    </cfRule>
  </conditionalFormatting>
  <conditionalFormatting sqref="B27:B29 B53">
    <cfRule type="expression" dxfId="1206" priority="1823" stopIfTrue="1">
      <formula>IF($F27="低",1,0)</formula>
    </cfRule>
  </conditionalFormatting>
  <conditionalFormatting sqref="P27:R29 P53:R53 P31:R31">
    <cfRule type="expression" dxfId="1205" priority="1821" stopIfTrue="1">
      <formula>IF($F27="低",1,0)</formula>
    </cfRule>
  </conditionalFormatting>
  <conditionalFormatting sqref="S27:U29 S53:U53 S31:U31">
    <cfRule type="expression" dxfId="1204" priority="1816" stopIfTrue="1">
      <formula>IF($F27="低",1,0)</formula>
    </cfRule>
  </conditionalFormatting>
  <conditionalFormatting sqref="G53:I53">
    <cfRule type="expression" dxfId="1203" priority="1753" stopIfTrue="1">
      <formula>IF($F53="低",1,0)</formula>
    </cfRule>
  </conditionalFormatting>
  <conditionalFormatting sqref="M27:O29">
    <cfRule type="expression" dxfId="1202" priority="1672" stopIfTrue="1">
      <formula>IF($F27="低",1,0)</formula>
    </cfRule>
  </conditionalFormatting>
  <conditionalFormatting sqref="C53 C12:C31">
    <cfRule type="expression" dxfId="1201" priority="1655" stopIfTrue="1">
      <formula>IF($F12="低",1,0)</formula>
    </cfRule>
  </conditionalFormatting>
  <conditionalFormatting sqref="E19">
    <cfRule type="expression" dxfId="1200" priority="1617" stopIfTrue="1">
      <formula>IF($F19="低",1,0)</formula>
    </cfRule>
  </conditionalFormatting>
  <conditionalFormatting sqref="E18">
    <cfRule type="expression" dxfId="1199" priority="1618" stopIfTrue="1">
      <formula>IF($F18="低",1,0)</formula>
    </cfRule>
  </conditionalFormatting>
  <conditionalFormatting sqref="E16">
    <cfRule type="expression" dxfId="1198" priority="1616" stopIfTrue="1">
      <formula>IF($F16="低",1,0)</formula>
    </cfRule>
  </conditionalFormatting>
  <conditionalFormatting sqref="E22">
    <cfRule type="expression" dxfId="1197" priority="1614" stopIfTrue="1">
      <formula>IF($F22="低",1,0)</formula>
    </cfRule>
  </conditionalFormatting>
  <conditionalFormatting sqref="E25">
    <cfRule type="expression" dxfId="1196" priority="1613" stopIfTrue="1">
      <formula>IF($F25="低",1,0)</formula>
    </cfRule>
  </conditionalFormatting>
  <conditionalFormatting sqref="E13">
    <cfRule type="expression" dxfId="1195" priority="1619" stopIfTrue="1">
      <formula>IF($F13="低",1,0)</formula>
    </cfRule>
  </conditionalFormatting>
  <conditionalFormatting sqref="E21">
    <cfRule type="expression" dxfId="1194" priority="1615" stopIfTrue="1">
      <formula>IF($F21="低",1,0)</formula>
    </cfRule>
  </conditionalFormatting>
  <conditionalFormatting sqref="E26">
    <cfRule type="expression" dxfId="1193" priority="1612" stopIfTrue="1">
      <formula>IF($F26="低",1,0)</formula>
    </cfRule>
  </conditionalFormatting>
  <conditionalFormatting sqref="J62:U62 J56:L61 P56:U61 J63:L63 P63:U63 J65:L65 P65:U65 J64:U64 D56:D57 B56:B63">
    <cfRule type="expression" dxfId="1192" priority="1322" stopIfTrue="1">
      <formula>IF($F56="低",1,0)</formula>
    </cfRule>
  </conditionalFormatting>
  <conditionalFormatting sqref="C55">
    <cfRule type="expression" dxfId="1191" priority="1308" stopIfTrue="1">
      <formula>IF($F55="低",1,0)</formula>
    </cfRule>
  </conditionalFormatting>
  <conditionalFormatting sqref="D55">
    <cfRule type="expression" dxfId="1190" priority="1307" stopIfTrue="1">
      <formula>IF($F55="低",1,0)</formula>
    </cfRule>
  </conditionalFormatting>
  <conditionalFormatting sqref="E55">
    <cfRule type="expression" dxfId="1189" priority="1306" stopIfTrue="1">
      <formula>IF($F55="低",1,0)</formula>
    </cfRule>
  </conditionalFormatting>
  <conditionalFormatting sqref="V12:X12 V67:X67 V21:X21 V24:X26 W21:X22">
    <cfRule type="expression" dxfId="1188" priority="1303" stopIfTrue="1">
      <formula>IF($F12="低",1,0)</formula>
    </cfRule>
  </conditionalFormatting>
  <conditionalFormatting sqref="V15:X16">
    <cfRule type="expression" dxfId="1187" priority="1301" stopIfTrue="1">
      <formula>IF($F15="低",1,0)</formula>
    </cfRule>
  </conditionalFormatting>
  <conditionalFormatting sqref="V55:X55">
    <cfRule type="expression" dxfId="1186" priority="1296" stopIfTrue="1">
      <formula>IF($F55="低",1,0)</formula>
    </cfRule>
  </conditionalFormatting>
  <conditionalFormatting sqref="V18:X18 W19:X19">
    <cfRule type="expression" dxfId="1185" priority="1281" stopIfTrue="1">
      <formula>IF($F18="低",1,0)</formula>
    </cfRule>
  </conditionalFormatting>
  <conditionalFormatting sqref="W28:X29 W53:X53">
    <cfRule type="expression" dxfId="1184" priority="1280" stopIfTrue="1">
      <formula>IF($F28="低",1,0)</formula>
    </cfRule>
  </conditionalFormatting>
  <conditionalFormatting sqref="V56:X61 V63:X63 V65:X65">
    <cfRule type="expression" dxfId="1183" priority="1256" stopIfTrue="1">
      <formula>IF($F56="低",1,0)</formula>
    </cfRule>
  </conditionalFormatting>
  <conditionalFormatting sqref="Y67:AA67 Z22:AA22">
    <cfRule type="expression" dxfId="1182" priority="1252" stopIfTrue="1">
      <formula>IF($F22="低",1,0)</formula>
    </cfRule>
  </conditionalFormatting>
  <conditionalFormatting sqref="Z55:AA55">
    <cfRule type="expression" dxfId="1181" priority="1245" stopIfTrue="1">
      <formula>IF($F55="低",1,0)</formula>
    </cfRule>
  </conditionalFormatting>
  <conditionalFormatting sqref="Z19:AA19">
    <cfRule type="expression" dxfId="1180" priority="1230" stopIfTrue="1">
      <formula>IF($F19="低",1,0)</formula>
    </cfRule>
  </conditionalFormatting>
  <conditionalFormatting sqref="Z28:AA29 Z53:AA53">
    <cfRule type="expression" dxfId="1179" priority="1229" stopIfTrue="1">
      <formula>IF($F28="低",1,0)</formula>
    </cfRule>
  </conditionalFormatting>
  <conditionalFormatting sqref="Z56:AA61 Z63:AA63 Z65:AA65">
    <cfRule type="expression" dxfId="1178" priority="1205" stopIfTrue="1">
      <formula>IF($F56="低",1,0)</formula>
    </cfRule>
  </conditionalFormatting>
  <conditionalFormatting sqref="V19">
    <cfRule type="expression" dxfId="1177" priority="1196" stopIfTrue="1">
      <formula>IF($F19="低",1,0)</formula>
    </cfRule>
  </conditionalFormatting>
  <conditionalFormatting sqref="V22">
    <cfRule type="expression" dxfId="1176" priority="1195" stopIfTrue="1">
      <formula>IF($F22="低",1,0)</formula>
    </cfRule>
  </conditionalFormatting>
  <conditionalFormatting sqref="V28">
    <cfRule type="expression" dxfId="1175" priority="1193" stopIfTrue="1">
      <formula>IF($F28="低",1,0)</formula>
    </cfRule>
  </conditionalFormatting>
  <conditionalFormatting sqref="V29">
    <cfRule type="expression" dxfId="1174" priority="1192" stopIfTrue="1">
      <formula>IF($F29="低",1,0)</formula>
    </cfRule>
  </conditionalFormatting>
  <conditionalFormatting sqref="Y55">
    <cfRule type="expression" dxfId="1173" priority="1173" stopIfTrue="1">
      <formula>IF($F55="低",1,0)</formula>
    </cfRule>
  </conditionalFormatting>
  <conditionalFormatting sqref="Y56:Y61 Y63 Y65">
    <cfRule type="expression" dxfId="1172" priority="1166" stopIfTrue="1">
      <formula>IF($F56="低",1,0)</formula>
    </cfRule>
  </conditionalFormatting>
  <conditionalFormatting sqref="Y19">
    <cfRule type="expression" dxfId="1171" priority="1164" stopIfTrue="1">
      <formula>IF($F19="低",1,0)</formula>
    </cfRule>
  </conditionalFormatting>
  <conditionalFormatting sqref="Y22">
    <cfRule type="expression" dxfId="1170" priority="1163" stopIfTrue="1">
      <formula>IF($F22="低",1,0)</formula>
    </cfRule>
  </conditionalFormatting>
  <conditionalFormatting sqref="Y28">
    <cfRule type="expression" dxfId="1169" priority="1162" stopIfTrue="1">
      <formula>IF($F28="低",1,0)</formula>
    </cfRule>
  </conditionalFormatting>
  <conditionalFormatting sqref="Y29">
    <cfRule type="expression" dxfId="1168" priority="1161" stopIfTrue="1">
      <formula>IF($F29="低",1,0)</formula>
    </cfRule>
  </conditionalFormatting>
  <conditionalFormatting sqref="B17">
    <cfRule type="expression" dxfId="1167" priority="1133" stopIfTrue="1">
      <formula>IF($F17="低",1,0)</formula>
    </cfRule>
  </conditionalFormatting>
  <conditionalFormatting sqref="P17:R17">
    <cfRule type="expression" dxfId="1166" priority="1132" stopIfTrue="1">
      <formula>IF($F17="低",1,0)</formula>
    </cfRule>
  </conditionalFormatting>
  <conditionalFormatting sqref="J17:L17">
    <cfRule type="expression" dxfId="1165" priority="1131" stopIfTrue="1">
      <formula>IF($F17="低",1,0)</formula>
    </cfRule>
  </conditionalFormatting>
  <conditionalFormatting sqref="S17:U17">
    <cfRule type="expression" dxfId="1164" priority="1130" stopIfTrue="1">
      <formula>IF($F17="低",1,0)</formula>
    </cfRule>
  </conditionalFormatting>
  <conditionalFormatting sqref="V17:X17">
    <cfRule type="expression" dxfId="1163" priority="1124" stopIfTrue="1">
      <formula>IF($F17="低",1,0)</formula>
    </cfRule>
  </conditionalFormatting>
  <conditionalFormatting sqref="E17">
    <cfRule type="expression" dxfId="1162" priority="1125" stopIfTrue="1">
      <formula>IF($F17="低",1,0)</formula>
    </cfRule>
  </conditionalFormatting>
  <conditionalFormatting sqref="B23">
    <cfRule type="expression" dxfId="1161" priority="1119" stopIfTrue="1">
      <formula>IF($F23="低",1,0)</formula>
    </cfRule>
  </conditionalFormatting>
  <conditionalFormatting sqref="P23:R23">
    <cfRule type="expression" dxfId="1160" priority="1118" stopIfTrue="1">
      <formula>IF($F23="低",1,0)</formula>
    </cfRule>
  </conditionalFormatting>
  <conditionalFormatting sqref="J23:L23">
    <cfRule type="expression" dxfId="1159" priority="1117" stopIfTrue="1">
      <formula>IF($F23="低",1,0)</formula>
    </cfRule>
  </conditionalFormatting>
  <conditionalFormatting sqref="S23:U23">
    <cfRule type="expression" dxfId="1158" priority="1116" stopIfTrue="1">
      <formula>IF($F23="低",1,0)</formula>
    </cfRule>
  </conditionalFormatting>
  <conditionalFormatting sqref="V23:X23">
    <cfRule type="expression" dxfId="1157" priority="1110" stopIfTrue="1">
      <formula>IF($F23="低",1,0)</formula>
    </cfRule>
  </conditionalFormatting>
  <conditionalFormatting sqref="E23">
    <cfRule type="expression" dxfId="1156" priority="1105" stopIfTrue="1">
      <formula>IF($F23="低",1,0)</formula>
    </cfRule>
  </conditionalFormatting>
  <conditionalFormatting sqref="D13">
    <cfRule type="expression" dxfId="1155" priority="1085" stopIfTrue="1">
      <formula>IF($F13="低",1,0)</formula>
    </cfRule>
  </conditionalFormatting>
  <conditionalFormatting sqref="D16">
    <cfRule type="expression" dxfId="1154" priority="1084" stopIfTrue="1">
      <formula>IF($F16="低",1,0)</formula>
    </cfRule>
  </conditionalFormatting>
  <conditionalFormatting sqref="D17">
    <cfRule type="expression" dxfId="1153" priority="1083" stopIfTrue="1">
      <formula>IF($F17="低",1,0)</formula>
    </cfRule>
  </conditionalFormatting>
  <conditionalFormatting sqref="D19">
    <cfRule type="expression" dxfId="1152" priority="1082" stopIfTrue="1">
      <formula>IF($F19="低",1,0)</formula>
    </cfRule>
  </conditionalFormatting>
  <conditionalFormatting sqref="D21">
    <cfRule type="expression" dxfId="1151" priority="1081" stopIfTrue="1">
      <formula>IF($F21="低",1,0)</formula>
    </cfRule>
  </conditionalFormatting>
  <conditionalFormatting sqref="D22">
    <cfRule type="expression" dxfId="1150" priority="1080" stopIfTrue="1">
      <formula>IF($F22="低",1,0)</formula>
    </cfRule>
  </conditionalFormatting>
  <conditionalFormatting sqref="D23">
    <cfRule type="expression" dxfId="1149" priority="1079" stopIfTrue="1">
      <formula>IF($F23="低",1,0)</formula>
    </cfRule>
  </conditionalFormatting>
  <conditionalFormatting sqref="D25">
    <cfRule type="expression" dxfId="1148" priority="1076" stopIfTrue="1">
      <formula>IF($F25="低",1,0)</formula>
    </cfRule>
  </conditionalFormatting>
  <conditionalFormatting sqref="D26">
    <cfRule type="expression" dxfId="1147" priority="1073" stopIfTrue="1">
      <formula>IF($F26="低",1,0)</formula>
    </cfRule>
  </conditionalFormatting>
  <conditionalFormatting sqref="D27">
    <cfRule type="expression" dxfId="1146" priority="1072" stopIfTrue="1">
      <formula>IF($F27="低",1,0)</formula>
    </cfRule>
  </conditionalFormatting>
  <conditionalFormatting sqref="D53">
    <cfRule type="expression" dxfId="1145" priority="1068" stopIfTrue="1">
      <formula>IF($F53="低",1,0)</formula>
    </cfRule>
  </conditionalFormatting>
  <conditionalFormatting sqref="V12:X12 V28:X29 V15:X19 V21:X26 V63:X63 W53:X53 V54:X61 V45:Y46 V50:Y51 V65:X67 V40:Y40 V37:Y38">
    <cfRule type="expression" dxfId="1144" priority="1009">
      <formula>IF($V12="★",1,0)</formula>
    </cfRule>
  </conditionalFormatting>
  <conditionalFormatting sqref="Y22:AA22 Y19:AA19 Y28:AA29 Y63:AA63 Z53:AA53 Y54:AA61 Z45:AA46 Z50:AA51 Y65:AA67 Z40:AA40 Z37:AA38">
    <cfRule type="expression" dxfId="1143" priority="1008">
      <formula>IF($Y19="★",1,0)</formula>
    </cfRule>
  </conditionalFormatting>
  <conditionalFormatting sqref="B14 D14:E14 J14:L14">
    <cfRule type="expression" dxfId="1142" priority="860" stopIfTrue="1">
      <formula>IF($F14="低",1,0)</formula>
    </cfRule>
  </conditionalFormatting>
  <conditionalFormatting sqref="P14:R14">
    <cfRule type="expression" dxfId="1141" priority="859" stopIfTrue="1">
      <formula>IF($F14="低",1,0)</formula>
    </cfRule>
  </conditionalFormatting>
  <conditionalFormatting sqref="S14:U14">
    <cfRule type="expression" dxfId="1140" priority="858" stopIfTrue="1">
      <formula>IF($F14="低",1,0)</formula>
    </cfRule>
  </conditionalFormatting>
  <conditionalFormatting sqref="S20:U20">
    <cfRule type="expression" dxfId="1139" priority="847" stopIfTrue="1">
      <formula>IF($F20="低",1,0)</formula>
    </cfRule>
  </conditionalFormatting>
  <conditionalFormatting sqref="B20 P20:R20">
    <cfRule type="expression" dxfId="1138" priority="846" stopIfTrue="1">
      <formula>IF($F20="低",1,0)</formula>
    </cfRule>
  </conditionalFormatting>
  <conditionalFormatting sqref="J20:L20">
    <cfRule type="expression" dxfId="1137" priority="845" stopIfTrue="1">
      <formula>IF($F20="低",1,0)</formula>
    </cfRule>
  </conditionalFormatting>
  <conditionalFormatting sqref="M20:O20">
    <cfRule type="expression" dxfId="1136" priority="843" stopIfTrue="1">
      <formula>IF($F20="低",1,0)</formula>
    </cfRule>
  </conditionalFormatting>
  <conditionalFormatting sqref="D20">
    <cfRule type="expression" dxfId="1135" priority="835" stopIfTrue="1">
      <formula>IF($F20="低",1,0)</formula>
    </cfRule>
  </conditionalFormatting>
  <conditionalFormatting sqref="E20">
    <cfRule type="expression" dxfId="1134" priority="832" stopIfTrue="1">
      <formula>IF($F20="低",1,0)</formula>
    </cfRule>
  </conditionalFormatting>
  <conditionalFormatting sqref="D31">
    <cfRule type="expression" dxfId="1133" priority="829" stopIfTrue="1">
      <formula>IF($F31="低",1,0)</formula>
    </cfRule>
  </conditionalFormatting>
  <conditionalFormatting sqref="G65:I65">
    <cfRule type="expression" dxfId="1132" priority="735" stopIfTrue="1">
      <formula>IF($F65="低",1,0)</formula>
    </cfRule>
  </conditionalFormatting>
  <conditionalFormatting sqref="G64:I64">
    <cfRule type="expression" dxfId="1131" priority="732" stopIfTrue="1">
      <formula>IF($F64="低",1,0)</formula>
    </cfRule>
  </conditionalFormatting>
  <conditionalFormatting sqref="D28">
    <cfRule type="expression" dxfId="1130" priority="624" stopIfTrue="1">
      <formula>IF($F28="低",1,0)</formula>
    </cfRule>
  </conditionalFormatting>
  <conditionalFormatting sqref="D29">
    <cfRule type="expression" dxfId="1129" priority="623" stopIfTrue="1">
      <formula>IF($F29="低",1,0)</formula>
    </cfRule>
  </conditionalFormatting>
  <conditionalFormatting sqref="V56:X58">
    <cfRule type="expression" dxfId="1128" priority="606" stopIfTrue="1">
      <formula>IF($F56="低",1,0)</formula>
    </cfRule>
  </conditionalFormatting>
  <conditionalFormatting sqref="V65:X65">
    <cfRule type="expression" dxfId="1127" priority="602" stopIfTrue="1">
      <formula>IF($F65="低",1,0)</formula>
    </cfRule>
  </conditionalFormatting>
  <conditionalFormatting sqref="G16">
    <cfRule type="expression" dxfId="1126" priority="614" stopIfTrue="1">
      <formula>IF($F16="低",1,0)</formula>
    </cfRule>
  </conditionalFormatting>
  <conditionalFormatting sqref="V18:X18">
    <cfRule type="expression" dxfId="1125" priority="613" stopIfTrue="1">
      <formula>IF($F18="低",1,0)</formula>
    </cfRule>
  </conditionalFormatting>
  <conditionalFormatting sqref="V59:X60">
    <cfRule type="expression" dxfId="1124" priority="605" stopIfTrue="1">
      <formula>IF($F59="低",1,0)</formula>
    </cfRule>
  </conditionalFormatting>
  <conditionalFormatting sqref="V61:X61">
    <cfRule type="expression" dxfId="1123" priority="604" stopIfTrue="1">
      <formula>IF($F61="低",1,0)</formula>
    </cfRule>
  </conditionalFormatting>
  <conditionalFormatting sqref="V63:X63">
    <cfRule type="expression" dxfId="1122" priority="603" stopIfTrue="1">
      <formula>IF($F63="低",1,0)</formula>
    </cfRule>
  </conditionalFormatting>
  <conditionalFormatting sqref="V14:X14">
    <cfRule type="expression" dxfId="1121" priority="589" stopIfTrue="1">
      <formula>IF($F14="低",1,0)</formula>
    </cfRule>
  </conditionalFormatting>
  <conditionalFormatting sqref="V14:X14">
    <cfRule type="expression" dxfId="1120" priority="588">
      <formula>IF($V14="★",1,0)</formula>
    </cfRule>
  </conditionalFormatting>
  <conditionalFormatting sqref="M18:O18">
    <cfRule type="expression" dxfId="1119" priority="587" stopIfTrue="1">
      <formula>IF($F18="低",1,0)</formula>
    </cfRule>
  </conditionalFormatting>
  <conditionalFormatting sqref="M24:O24">
    <cfRule type="expression" dxfId="1118" priority="586" stopIfTrue="1">
      <formula>IF($F24="低",1,0)</formula>
    </cfRule>
  </conditionalFormatting>
  <conditionalFormatting sqref="M25:O25">
    <cfRule type="expression" dxfId="1117" priority="585" stopIfTrue="1">
      <formula>IF($F25="低",1,0)</formula>
    </cfRule>
  </conditionalFormatting>
  <conditionalFormatting sqref="M26:O26">
    <cfRule type="expression" dxfId="1116" priority="584" stopIfTrue="1">
      <formula>IF($F26="低",1,0)</formula>
    </cfRule>
  </conditionalFormatting>
  <conditionalFormatting sqref="M55:O55">
    <cfRule type="expression" dxfId="1115" priority="517" stopIfTrue="1">
      <formula>IF($F55="低",1,0)</formula>
    </cfRule>
  </conditionalFormatting>
  <conditionalFormatting sqref="M56:O59">
    <cfRule type="expression" dxfId="1114" priority="516" stopIfTrue="1">
      <formula>IF($F56="低",1,0)</formula>
    </cfRule>
  </conditionalFormatting>
  <conditionalFormatting sqref="M60:O61">
    <cfRule type="expression" dxfId="1113" priority="515" stopIfTrue="1">
      <formula>IF($F60="低",1,0)</formula>
    </cfRule>
  </conditionalFormatting>
  <conditionalFormatting sqref="M63:O63">
    <cfRule type="expression" dxfId="1112" priority="514" stopIfTrue="1">
      <formula>IF($F63="低",1,0)</formula>
    </cfRule>
  </conditionalFormatting>
  <conditionalFormatting sqref="M65:O65">
    <cfRule type="expression" dxfId="1111" priority="513" stopIfTrue="1">
      <formula>IF($F65="低",1,0)</formula>
    </cfRule>
  </conditionalFormatting>
  <conditionalFormatting sqref="M19:O19">
    <cfRule type="expression" dxfId="1110" priority="492" stopIfTrue="1">
      <formula>IF($F19="低",1,0)</formula>
    </cfRule>
  </conditionalFormatting>
  <conditionalFormatting sqref="M21:O21">
    <cfRule type="expression" dxfId="1109" priority="491" stopIfTrue="1">
      <formula>IF($F21="低",1,0)</formula>
    </cfRule>
  </conditionalFormatting>
  <conditionalFormatting sqref="M15:O15">
    <cfRule type="expression" dxfId="1108" priority="490" stopIfTrue="1">
      <formula>IF($F15="低",1,0)</formula>
    </cfRule>
  </conditionalFormatting>
  <conditionalFormatting sqref="M16:O16">
    <cfRule type="expression" dxfId="1107" priority="489" stopIfTrue="1">
      <formula>IF($F16="低",1,0)</formula>
    </cfRule>
  </conditionalFormatting>
  <conditionalFormatting sqref="M22:O22">
    <cfRule type="expression" dxfId="1106" priority="488" stopIfTrue="1">
      <formula>IF($F22="低",1,0)</formula>
    </cfRule>
  </conditionalFormatting>
  <conditionalFormatting sqref="V27:X27">
    <cfRule type="expression" dxfId="1105" priority="487" stopIfTrue="1">
      <formula>IF($F27="低",1,0)</formula>
    </cfRule>
  </conditionalFormatting>
  <conditionalFormatting sqref="V21">
    <cfRule type="expression" dxfId="1104" priority="483" stopIfTrue="1">
      <formula>IF($F21="低",1,0)</formula>
    </cfRule>
  </conditionalFormatting>
  <conditionalFormatting sqref="W23:X23">
    <cfRule type="expression" dxfId="1103" priority="482" stopIfTrue="1">
      <formula>IF($F23="低",1,0)</formula>
    </cfRule>
  </conditionalFormatting>
  <conditionalFormatting sqref="V23">
    <cfRule type="expression" dxfId="1102" priority="481" stopIfTrue="1">
      <formula>IF($F23="低",1,0)</formula>
    </cfRule>
  </conditionalFormatting>
  <conditionalFormatting sqref="Y15:AA15">
    <cfRule type="expression" dxfId="1101" priority="478" stopIfTrue="1">
      <formula>IF($F15="低",1,0)</formula>
    </cfRule>
  </conditionalFormatting>
  <conditionalFormatting sqref="Y15:AA15">
    <cfRule type="expression" dxfId="1100" priority="477">
      <formula>IF($V15="★",1,0)</formula>
    </cfRule>
  </conditionalFormatting>
  <conditionalFormatting sqref="V21:X21">
    <cfRule type="expression" dxfId="1099" priority="476" stopIfTrue="1">
      <formula>IF($F21="低",1,0)</formula>
    </cfRule>
  </conditionalFormatting>
  <conditionalFormatting sqref="Y21:AA21">
    <cfRule type="expression" dxfId="1098" priority="475" stopIfTrue="1">
      <formula>IF($F21="低",1,0)</formula>
    </cfRule>
  </conditionalFormatting>
  <conditionalFormatting sqref="Y21:AA21">
    <cfRule type="expression" dxfId="1097" priority="474">
      <formula>IF($V21="★",1,0)</formula>
    </cfRule>
  </conditionalFormatting>
  <conditionalFormatting sqref="Y12:AA12">
    <cfRule type="expression" dxfId="1096" priority="471" stopIfTrue="1">
      <formula>IF($F12="低",1,0)</formula>
    </cfRule>
  </conditionalFormatting>
  <conditionalFormatting sqref="Y12:AA12">
    <cfRule type="expression" dxfId="1095" priority="470">
      <formula>IF($V12="★",1,0)</formula>
    </cfRule>
  </conditionalFormatting>
  <conditionalFormatting sqref="Y18:AA18">
    <cfRule type="expression" dxfId="1094" priority="466" stopIfTrue="1">
      <formula>IF($F18="低",1,0)</formula>
    </cfRule>
  </conditionalFormatting>
  <conditionalFormatting sqref="Y18:AA18">
    <cfRule type="expression" dxfId="1093" priority="465">
      <formula>IF($V18="★",1,0)</formula>
    </cfRule>
  </conditionalFormatting>
  <conditionalFormatting sqref="Z23:AA23">
    <cfRule type="expression" dxfId="1092" priority="464" stopIfTrue="1">
      <formula>IF($F23="低",1,0)</formula>
    </cfRule>
  </conditionalFormatting>
  <conditionalFormatting sqref="Z23:AA23">
    <cfRule type="expression" dxfId="1091" priority="463">
      <formula>IF($V23="★",1,0)</formula>
    </cfRule>
  </conditionalFormatting>
  <conditionalFormatting sqref="Z23:AA23">
    <cfRule type="expression" dxfId="1090" priority="462" stopIfTrue="1">
      <formula>IF($F23="低",1,0)</formula>
    </cfRule>
  </conditionalFormatting>
  <conditionalFormatting sqref="Z24:AA26">
    <cfRule type="expression" dxfId="1089" priority="456" stopIfTrue="1">
      <formula>IF($F24="低",1,0)</formula>
    </cfRule>
  </conditionalFormatting>
  <conditionalFormatting sqref="Z24:AA26">
    <cfRule type="expression" dxfId="1088" priority="455">
      <formula>IF($V24="★",1,0)</formula>
    </cfRule>
  </conditionalFormatting>
  <conditionalFormatting sqref="Y24:Y26">
    <cfRule type="expression" dxfId="1087" priority="454" stopIfTrue="1">
      <formula>IF($F24="低",1,0)</formula>
    </cfRule>
  </conditionalFormatting>
  <conditionalFormatting sqref="Y24:Y26">
    <cfRule type="expression" dxfId="1086" priority="453">
      <formula>IF($V24="★",1,0)</formula>
    </cfRule>
  </conditionalFormatting>
  <conditionalFormatting sqref="Y27:AA27">
    <cfRule type="expression" dxfId="1085" priority="452" stopIfTrue="1">
      <formula>IF($F27="低",1,0)</formula>
    </cfRule>
  </conditionalFormatting>
  <conditionalFormatting sqref="Y16:AA16">
    <cfRule type="expression" dxfId="1084" priority="447" stopIfTrue="1">
      <formula>IF($F16="低",1,0)</formula>
    </cfRule>
  </conditionalFormatting>
  <conditionalFormatting sqref="Y16:AA16">
    <cfRule type="expression" dxfId="1083" priority="446">
      <formula>IF($V16="★",1,0)</formula>
    </cfRule>
  </conditionalFormatting>
  <conditionalFormatting sqref="Y13:AA13">
    <cfRule type="expression" dxfId="1082" priority="445" stopIfTrue="1">
      <formula>IF($F13="低",1,0)</formula>
    </cfRule>
  </conditionalFormatting>
  <conditionalFormatting sqref="Y13:AA13">
    <cfRule type="expression" dxfId="1081" priority="444">
      <formula>IF($V13="★",1,0)</formula>
    </cfRule>
  </conditionalFormatting>
  <conditionalFormatting sqref="V13:X13">
    <cfRule type="expression" dxfId="1080" priority="443" stopIfTrue="1">
      <formula>IF($F13="低",1,0)</formula>
    </cfRule>
  </conditionalFormatting>
  <conditionalFormatting sqref="V13:X13">
    <cfRule type="expression" dxfId="1079" priority="442">
      <formula>IF($V13="★",1,0)</formula>
    </cfRule>
  </conditionalFormatting>
  <conditionalFormatting sqref="W17:X17">
    <cfRule type="expression" dxfId="1078" priority="441" stopIfTrue="1">
      <formula>IF($F17="低",1,0)</formula>
    </cfRule>
  </conditionalFormatting>
  <conditionalFormatting sqref="V17">
    <cfRule type="expression" dxfId="1077" priority="440" stopIfTrue="1">
      <formula>IF($F17="低",1,0)</formula>
    </cfRule>
  </conditionalFormatting>
  <conditionalFormatting sqref="Z17:AA17">
    <cfRule type="expression" dxfId="1076" priority="439" stopIfTrue="1">
      <formula>IF($F17="低",1,0)</formula>
    </cfRule>
  </conditionalFormatting>
  <conditionalFormatting sqref="Z17:AA17">
    <cfRule type="expression" dxfId="1075" priority="437">
      <formula>IF($V17="★",1,0)</formula>
    </cfRule>
  </conditionalFormatting>
  <conditionalFormatting sqref="Y17">
    <cfRule type="expression" dxfId="1074" priority="436" stopIfTrue="1">
      <formula>IF($F17="低",1,0)</formula>
    </cfRule>
  </conditionalFormatting>
  <conditionalFormatting sqref="Y17">
    <cfRule type="expression" dxfId="1073" priority="435">
      <formula>IF($V17="★",1,0)</formula>
    </cfRule>
  </conditionalFormatting>
  <conditionalFormatting sqref="Y17">
    <cfRule type="expression" dxfId="1072" priority="434" stopIfTrue="1">
      <formula>IF($F17="低",1,0)</formula>
    </cfRule>
  </conditionalFormatting>
  <conditionalFormatting sqref="V23">
    <cfRule type="expression" dxfId="1071" priority="433" stopIfTrue="1">
      <formula>IF($F23="低",1,0)</formula>
    </cfRule>
  </conditionalFormatting>
  <conditionalFormatting sqref="V23">
    <cfRule type="expression" dxfId="1070" priority="432" stopIfTrue="1">
      <formula>IF($F23="低",1,0)</formula>
    </cfRule>
  </conditionalFormatting>
  <conditionalFormatting sqref="Y23">
    <cfRule type="expression" dxfId="1069" priority="431" stopIfTrue="1">
      <formula>IF($F23="低",1,0)</formula>
    </cfRule>
  </conditionalFormatting>
  <conditionalFormatting sqref="Y23">
    <cfRule type="expression" dxfId="1068" priority="430">
      <formula>IF($V23="★",1,0)</formula>
    </cfRule>
  </conditionalFormatting>
  <conditionalFormatting sqref="Y23">
    <cfRule type="expression" dxfId="1067" priority="429" stopIfTrue="1">
      <formula>IF($F23="低",1,0)</formula>
    </cfRule>
  </conditionalFormatting>
  <conditionalFormatting sqref="Y14:AA14">
    <cfRule type="expression" dxfId="1066" priority="428" stopIfTrue="1">
      <formula>IF($F14="低",1,0)</formula>
    </cfRule>
  </conditionalFormatting>
  <conditionalFormatting sqref="Y14:AA14">
    <cfRule type="expression" dxfId="1065" priority="427">
      <formula>IF($V14="★",1,0)</formula>
    </cfRule>
  </conditionalFormatting>
  <conditionalFormatting sqref="V20:W20">
    <cfRule type="expression" dxfId="1064" priority="426" stopIfTrue="1">
      <formula>IF($F20="低",1,0)</formula>
    </cfRule>
  </conditionalFormatting>
  <conditionalFormatting sqref="V20:W20">
    <cfRule type="expression" dxfId="1063" priority="425">
      <formula>IF($V20="★",1,0)</formula>
    </cfRule>
  </conditionalFormatting>
  <conditionalFormatting sqref="V20">
    <cfRule type="expression" dxfId="1062" priority="424" stopIfTrue="1">
      <formula>IF($F20="低",1,0)</formula>
    </cfRule>
  </conditionalFormatting>
  <conditionalFormatting sqref="V20:W20">
    <cfRule type="expression" dxfId="1061" priority="423" stopIfTrue="1">
      <formula>IF($F20="低",1,0)</formula>
    </cfRule>
  </conditionalFormatting>
  <conditionalFormatting sqref="X20">
    <cfRule type="expression" dxfId="1060" priority="422" stopIfTrue="1">
      <formula>IF($F20="低",1,0)</formula>
    </cfRule>
  </conditionalFormatting>
  <conditionalFormatting sqref="X20">
    <cfRule type="expression" dxfId="1059" priority="421">
      <formula>IF($V20="★",1,0)</formula>
    </cfRule>
  </conditionalFormatting>
  <conditionalFormatting sqref="Y20:AA20">
    <cfRule type="expression" dxfId="1058" priority="420" stopIfTrue="1">
      <formula>IF($F20="低",1,0)</formula>
    </cfRule>
  </conditionalFormatting>
  <conditionalFormatting sqref="Y20:AA20">
    <cfRule type="expression" dxfId="1057" priority="419">
      <formula>IF($V20="★",1,0)</formula>
    </cfRule>
  </conditionalFormatting>
  <conditionalFormatting sqref="W31:X31">
    <cfRule type="expression" dxfId="1056" priority="418" stopIfTrue="1">
      <formula>IF($F31="低",1,0)</formula>
    </cfRule>
  </conditionalFormatting>
  <conditionalFormatting sqref="Z31:AA31">
    <cfRule type="expression" dxfId="1055" priority="417" stopIfTrue="1">
      <formula>IF($F31="低",1,0)</formula>
    </cfRule>
  </conditionalFormatting>
  <conditionalFormatting sqref="V31">
    <cfRule type="expression" dxfId="1054" priority="416" stopIfTrue="1">
      <formula>IF($F31="低",1,0)</formula>
    </cfRule>
  </conditionalFormatting>
  <conditionalFormatting sqref="V31:X31">
    <cfRule type="expression" dxfId="1053" priority="414">
      <formula>IF($V31="★",1,0)</formula>
    </cfRule>
  </conditionalFormatting>
  <conditionalFormatting sqref="Z31:AA31">
    <cfRule type="expression" dxfId="1052" priority="413">
      <formula>IF($Y31="★",1,0)</formula>
    </cfRule>
  </conditionalFormatting>
  <conditionalFormatting sqref="Y31">
    <cfRule type="expression" dxfId="1051" priority="412" stopIfTrue="1">
      <formula>IF($F31="低",1,0)</formula>
    </cfRule>
  </conditionalFormatting>
  <conditionalFormatting sqref="Y31">
    <cfRule type="expression" dxfId="1050" priority="411">
      <formula>IF($V31="★",1,0)</formula>
    </cfRule>
  </conditionalFormatting>
  <conditionalFormatting sqref="V53">
    <cfRule type="expression" dxfId="1049" priority="410" stopIfTrue="1">
      <formula>IF($F53="低",1,0)</formula>
    </cfRule>
  </conditionalFormatting>
  <conditionalFormatting sqref="V53">
    <cfRule type="expression" dxfId="1048" priority="409">
      <formula>IF($V53="★",1,0)</formula>
    </cfRule>
  </conditionalFormatting>
  <conditionalFormatting sqref="Y53">
    <cfRule type="expression" dxfId="1047" priority="408" stopIfTrue="1">
      <formula>IF($F53="低",1,0)</formula>
    </cfRule>
  </conditionalFormatting>
  <conditionalFormatting sqref="Y53">
    <cfRule type="expression" dxfId="1046" priority="407">
      <formula>IF($V53="★",1,0)</formula>
    </cfRule>
  </conditionalFormatting>
  <conditionalFormatting sqref="M23:O23">
    <cfRule type="expression" dxfId="1045" priority="400" stopIfTrue="1">
      <formula>IF($F23="低",1,0)</formula>
    </cfRule>
  </conditionalFormatting>
  <conditionalFormatting sqref="M17:O17">
    <cfRule type="expression" dxfId="1044" priority="399" stopIfTrue="1">
      <formula>IF($F17="低",1,0)</formula>
    </cfRule>
  </conditionalFormatting>
  <conditionalFormatting sqref="M14:O14">
    <cfRule type="expression" dxfId="1043" priority="398" stopIfTrue="1">
      <formula>IF($F14="低",1,0)</formula>
    </cfRule>
  </conditionalFormatting>
  <conditionalFormatting sqref="M31:O31">
    <cfRule type="expression" dxfId="1042" priority="397" stopIfTrue="1">
      <formula>IF($F31="低",1,0)</formula>
    </cfRule>
  </conditionalFormatting>
  <conditionalFormatting sqref="M53:O53">
    <cfRule type="expression" dxfId="1041" priority="396" stopIfTrue="1">
      <formula>IF($F53="低",1,0)</formula>
    </cfRule>
  </conditionalFormatting>
  <conditionalFormatting sqref="V62:X62">
    <cfRule type="expression" dxfId="1040" priority="392" stopIfTrue="1">
      <formula>IF($F62="低",1,0)</formula>
    </cfRule>
  </conditionalFormatting>
  <conditionalFormatting sqref="V64:X64">
    <cfRule type="expression" dxfId="1039" priority="391" stopIfTrue="1">
      <formula>IF($F64="低",1,0)</formula>
    </cfRule>
  </conditionalFormatting>
  <conditionalFormatting sqref="Y62:AA62">
    <cfRule type="expression" dxfId="1038" priority="389" stopIfTrue="1">
      <formula>IF($F62="低",1,0)</formula>
    </cfRule>
  </conditionalFormatting>
  <conditionalFormatting sqref="Y64:AA64">
    <cfRule type="expression" dxfId="1037" priority="388" stopIfTrue="1">
      <formula>IF($F64="低",1,0)</formula>
    </cfRule>
  </conditionalFormatting>
  <conditionalFormatting sqref="Z55:AA55">
    <cfRule type="expression" dxfId="1036" priority="372" stopIfTrue="1">
      <formula>IF($F55="低",1,0)</formula>
    </cfRule>
  </conditionalFormatting>
  <conditionalFormatting sqref="Y55">
    <cfRule type="expression" dxfId="1035" priority="371" stopIfTrue="1">
      <formula>IF($F55="低",1,0)</formula>
    </cfRule>
  </conditionalFormatting>
  <conditionalFormatting sqref="Z56:AA61">
    <cfRule type="expression" dxfId="1034" priority="370" stopIfTrue="1">
      <formula>IF($F56="低",1,0)</formula>
    </cfRule>
  </conditionalFormatting>
  <conditionalFormatting sqref="Y56:Y61">
    <cfRule type="expression" dxfId="1033" priority="369" stopIfTrue="1">
      <formula>IF($F56="低",1,0)</formula>
    </cfRule>
  </conditionalFormatting>
  <conditionalFormatting sqref="Z56:AA61">
    <cfRule type="expression" dxfId="1032" priority="368" stopIfTrue="1">
      <formula>IF($F56="低",1,0)</formula>
    </cfRule>
  </conditionalFormatting>
  <conditionalFormatting sqref="Y56:Y61">
    <cfRule type="expression" dxfId="1031" priority="367" stopIfTrue="1">
      <formula>IF($F56="低",1,0)</formula>
    </cfRule>
  </conditionalFormatting>
  <conditionalFormatting sqref="Z63:AA63">
    <cfRule type="expression" dxfId="1030" priority="366" stopIfTrue="1">
      <formula>IF($F63="低",1,0)</formula>
    </cfRule>
  </conditionalFormatting>
  <conditionalFormatting sqref="Y63">
    <cfRule type="expression" dxfId="1029" priority="365" stopIfTrue="1">
      <formula>IF($F63="低",1,0)</formula>
    </cfRule>
  </conditionalFormatting>
  <conditionalFormatting sqref="Z63:AA63">
    <cfRule type="expression" dxfId="1028" priority="364" stopIfTrue="1">
      <formula>IF($F63="低",1,0)</formula>
    </cfRule>
  </conditionalFormatting>
  <conditionalFormatting sqref="Y63">
    <cfRule type="expression" dxfId="1027" priority="363" stopIfTrue="1">
      <formula>IF($F63="低",1,0)</formula>
    </cfRule>
  </conditionalFormatting>
  <conditionalFormatting sqref="Z65:AA65">
    <cfRule type="expression" dxfId="1026" priority="362" stopIfTrue="1">
      <formula>IF($F65="低",1,0)</formula>
    </cfRule>
  </conditionalFormatting>
  <conditionalFormatting sqref="Y65">
    <cfRule type="expression" dxfId="1025" priority="361" stopIfTrue="1">
      <formula>IF($F65="低",1,0)</formula>
    </cfRule>
  </conditionalFormatting>
  <conditionalFormatting sqref="Z65:AA65">
    <cfRule type="expression" dxfId="1024" priority="360" stopIfTrue="1">
      <formula>IF($F65="低",1,0)</formula>
    </cfRule>
  </conditionalFormatting>
  <conditionalFormatting sqref="Y65">
    <cfRule type="expression" dxfId="1023" priority="359" stopIfTrue="1">
      <formula>IF($F65="低",1,0)</formula>
    </cfRule>
  </conditionalFormatting>
  <conditionalFormatting sqref="F13:F29 F31">
    <cfRule type="expression" dxfId="1022" priority="356" stopIfTrue="1">
      <formula>IF($F13="低",1,0)</formula>
    </cfRule>
  </conditionalFormatting>
  <conditionalFormatting sqref="F13:F29 F31">
    <cfRule type="expression" dxfId="1021" priority="355" stopIfTrue="1">
      <formula>IF($F13="高",1,0)</formula>
    </cfRule>
  </conditionalFormatting>
  <conditionalFormatting sqref="C56">
    <cfRule type="expression" dxfId="1020" priority="354" stopIfTrue="1">
      <formula>IF($F56="低",1,0)</formula>
    </cfRule>
  </conditionalFormatting>
  <conditionalFormatting sqref="E56">
    <cfRule type="expression" dxfId="1019" priority="353" stopIfTrue="1">
      <formula>IF($F56="低",1,0)</formula>
    </cfRule>
  </conditionalFormatting>
  <conditionalFormatting sqref="E57">
    <cfRule type="expression" dxfId="1018" priority="352" stopIfTrue="1">
      <formula>IF($F57="低",1,0)</formula>
    </cfRule>
  </conditionalFormatting>
  <conditionalFormatting sqref="C57">
    <cfRule type="expression" dxfId="1017" priority="351" stopIfTrue="1">
      <formula>IF($F57="低",1,0)</formula>
    </cfRule>
  </conditionalFormatting>
  <conditionalFormatting sqref="C58">
    <cfRule type="expression" dxfId="1016" priority="350" stopIfTrue="1">
      <formula>IF($F58="低",1,0)</formula>
    </cfRule>
  </conditionalFormatting>
  <conditionalFormatting sqref="D58">
    <cfRule type="expression" dxfId="1015" priority="349" stopIfTrue="1">
      <formula>IF($F58="低",1,0)</formula>
    </cfRule>
  </conditionalFormatting>
  <conditionalFormatting sqref="E58">
    <cfRule type="expression" dxfId="1014" priority="348" stopIfTrue="1">
      <formula>IF($F58="低",1,0)</formula>
    </cfRule>
  </conditionalFormatting>
  <conditionalFormatting sqref="E59">
    <cfRule type="expression" dxfId="1013" priority="347" stopIfTrue="1">
      <formula>IF($F59="低",1,0)</formula>
    </cfRule>
  </conditionalFormatting>
  <conditionalFormatting sqref="E60">
    <cfRule type="expression" dxfId="1012" priority="346" stopIfTrue="1">
      <formula>IF($F60="低",1,0)</formula>
    </cfRule>
  </conditionalFormatting>
  <conditionalFormatting sqref="C59">
    <cfRule type="expression" dxfId="1011" priority="345" stopIfTrue="1">
      <formula>IF($F59="低",1,0)</formula>
    </cfRule>
  </conditionalFormatting>
  <conditionalFormatting sqref="C60">
    <cfRule type="expression" dxfId="1010" priority="344" stopIfTrue="1">
      <formula>IF($F60="低",1,0)</formula>
    </cfRule>
  </conditionalFormatting>
  <conditionalFormatting sqref="P35:R35">
    <cfRule type="expression" dxfId="1009" priority="340" stopIfTrue="1">
      <formula>IF($F35="低",1,0)</formula>
    </cfRule>
  </conditionalFormatting>
  <conditionalFormatting sqref="J35:L35">
    <cfRule type="expression" dxfId="1008" priority="338" stopIfTrue="1">
      <formula>IF($F35="低",1,0)</formula>
    </cfRule>
  </conditionalFormatting>
  <conditionalFormatting sqref="E35">
    <cfRule type="expression" dxfId="1007" priority="339" stopIfTrue="1">
      <formula>IF($F35="低",1,0)</formula>
    </cfRule>
  </conditionalFormatting>
  <conditionalFormatting sqref="S35:U35">
    <cfRule type="expression" dxfId="1006" priority="337" stopIfTrue="1">
      <formula>IF($F35="低",1,0)</formula>
    </cfRule>
  </conditionalFormatting>
  <conditionalFormatting sqref="G35:I35">
    <cfRule type="expression" dxfId="1005" priority="336" stopIfTrue="1">
      <formula>IF($F35="低",1,0)</formula>
    </cfRule>
  </conditionalFormatting>
  <conditionalFormatting sqref="C35">
    <cfRule type="expression" dxfId="1004" priority="335" stopIfTrue="1">
      <formula>IF($F35="低",1,0)</formula>
    </cfRule>
  </conditionalFormatting>
  <conditionalFormatting sqref="W35:X35">
    <cfRule type="expression" dxfId="1003" priority="334" stopIfTrue="1">
      <formula>IF($F35="低",1,0)</formula>
    </cfRule>
  </conditionalFormatting>
  <conditionalFormatting sqref="Z35:AA35">
    <cfRule type="expression" dxfId="1002" priority="333" stopIfTrue="1">
      <formula>IF($F35="低",1,0)</formula>
    </cfRule>
  </conditionalFormatting>
  <conditionalFormatting sqref="D35">
    <cfRule type="expression" dxfId="1001" priority="332" stopIfTrue="1">
      <formula>IF($F35="低",1,0)</formula>
    </cfRule>
  </conditionalFormatting>
  <conditionalFormatting sqref="W35:X35">
    <cfRule type="expression" dxfId="1000" priority="331">
      <formula>IF($V35="★",1,0)</formula>
    </cfRule>
  </conditionalFormatting>
  <conditionalFormatting sqref="Z35:AA35">
    <cfRule type="expression" dxfId="999" priority="330">
      <formula>IF($Y35="★",1,0)</formula>
    </cfRule>
  </conditionalFormatting>
  <conditionalFormatting sqref="V35">
    <cfRule type="expression" dxfId="998" priority="329" stopIfTrue="1">
      <formula>IF($F35="低",1,0)</formula>
    </cfRule>
  </conditionalFormatting>
  <conditionalFormatting sqref="V35">
    <cfRule type="expression" dxfId="997" priority="328">
      <formula>IF($V35="★",1,0)</formula>
    </cfRule>
  </conditionalFormatting>
  <conditionalFormatting sqref="Y35">
    <cfRule type="expression" dxfId="996" priority="327" stopIfTrue="1">
      <formula>IF($F35="低",1,0)</formula>
    </cfRule>
  </conditionalFormatting>
  <conditionalFormatting sqref="Y35">
    <cfRule type="expression" dxfId="995" priority="326">
      <formula>IF($V35="★",1,0)</formula>
    </cfRule>
  </conditionalFormatting>
  <conditionalFormatting sqref="M35:O35">
    <cfRule type="expression" dxfId="994" priority="325" stopIfTrue="1">
      <formula>IF($F35="低",1,0)</formula>
    </cfRule>
  </conditionalFormatting>
  <conditionalFormatting sqref="P36:R36">
    <cfRule type="expression" dxfId="993" priority="283" stopIfTrue="1">
      <formula>IF($F36="低",1,0)</formula>
    </cfRule>
  </conditionalFormatting>
  <conditionalFormatting sqref="J36:L36">
    <cfRule type="expression" dxfId="992" priority="281" stopIfTrue="1">
      <formula>IF($F36="低",1,0)</formula>
    </cfRule>
  </conditionalFormatting>
  <conditionalFormatting sqref="W36:X36">
    <cfRule type="expression" dxfId="991" priority="277" stopIfTrue="1">
      <formula>IF($F36="低",1,0)</formula>
    </cfRule>
  </conditionalFormatting>
  <conditionalFormatting sqref="S36:U36">
    <cfRule type="expression" dxfId="990" priority="280" stopIfTrue="1">
      <formula>IF($F36="低",1,0)</formula>
    </cfRule>
  </conditionalFormatting>
  <conditionalFormatting sqref="C36">
    <cfRule type="expression" dxfId="989" priority="278" stopIfTrue="1">
      <formula>IF($F36="低",1,0)</formula>
    </cfRule>
  </conditionalFormatting>
  <conditionalFormatting sqref="Z36:AA36">
    <cfRule type="expression" dxfId="988" priority="276" stopIfTrue="1">
      <formula>IF($F36="低",1,0)</formula>
    </cfRule>
  </conditionalFormatting>
  <conditionalFormatting sqref="D36">
    <cfRule type="expression" dxfId="987" priority="275" stopIfTrue="1">
      <formula>IF($F36="低",1,0)</formula>
    </cfRule>
  </conditionalFormatting>
  <conditionalFormatting sqref="W36:X36">
    <cfRule type="expression" dxfId="986" priority="274">
      <formula>IF($V36="★",1,0)</formula>
    </cfRule>
  </conditionalFormatting>
  <conditionalFormatting sqref="Z36:AA36">
    <cfRule type="expression" dxfId="985" priority="273">
      <formula>IF($Y36="★",1,0)</formula>
    </cfRule>
  </conditionalFormatting>
  <conditionalFormatting sqref="V36">
    <cfRule type="expression" dxfId="984" priority="272" stopIfTrue="1">
      <formula>IF($F36="低",1,0)</formula>
    </cfRule>
  </conditionalFormatting>
  <conditionalFormatting sqref="V36">
    <cfRule type="expression" dxfId="983" priority="271">
      <formula>IF($V36="★",1,0)</formula>
    </cfRule>
  </conditionalFormatting>
  <conditionalFormatting sqref="Y36">
    <cfRule type="expression" dxfId="982" priority="270" stopIfTrue="1">
      <formula>IF($F36="低",1,0)</formula>
    </cfRule>
  </conditionalFormatting>
  <conditionalFormatting sqref="Y36">
    <cfRule type="expression" dxfId="981" priority="269">
      <formula>IF($V36="★",1,0)</formula>
    </cfRule>
  </conditionalFormatting>
  <conditionalFormatting sqref="M36:O36">
    <cfRule type="expression" dxfId="980" priority="268" stopIfTrue="1">
      <formula>IF($F36="低",1,0)</formula>
    </cfRule>
  </conditionalFormatting>
  <conditionalFormatting sqref="P44:R44">
    <cfRule type="expression" dxfId="979" priority="266" stopIfTrue="1">
      <formula>IF($F44="低",1,0)</formula>
    </cfRule>
  </conditionalFormatting>
  <conditionalFormatting sqref="J44:L44">
    <cfRule type="expression" dxfId="978" priority="264" stopIfTrue="1">
      <formula>IF($F44="低",1,0)</formula>
    </cfRule>
  </conditionalFormatting>
  <conditionalFormatting sqref="C44">
    <cfRule type="expression" dxfId="977" priority="261" stopIfTrue="1">
      <formula>IF($F44="低",1,0)</formula>
    </cfRule>
  </conditionalFormatting>
  <conditionalFormatting sqref="S44:U44">
    <cfRule type="expression" dxfId="976" priority="263" stopIfTrue="1">
      <formula>IF($F44="低",1,0)</formula>
    </cfRule>
  </conditionalFormatting>
  <conditionalFormatting sqref="W44:X44">
    <cfRule type="expression" dxfId="975" priority="260" stopIfTrue="1">
      <formula>IF($F44="低",1,0)</formula>
    </cfRule>
  </conditionalFormatting>
  <conditionalFormatting sqref="Z44:AA44">
    <cfRule type="expression" dxfId="974" priority="259" stopIfTrue="1">
      <formula>IF($F44="低",1,0)</formula>
    </cfRule>
  </conditionalFormatting>
  <conditionalFormatting sqref="D44">
    <cfRule type="expression" dxfId="973" priority="258" stopIfTrue="1">
      <formula>IF($F44="低",1,0)</formula>
    </cfRule>
  </conditionalFormatting>
  <conditionalFormatting sqref="W44:X44">
    <cfRule type="expression" dxfId="972" priority="257">
      <formula>IF($V44="★",1,0)</formula>
    </cfRule>
  </conditionalFormatting>
  <conditionalFormatting sqref="Z44:AA44">
    <cfRule type="expression" dxfId="971" priority="256">
      <formula>IF($Y44="★",1,0)</formula>
    </cfRule>
  </conditionalFormatting>
  <conditionalFormatting sqref="V44">
    <cfRule type="expression" dxfId="970" priority="255" stopIfTrue="1">
      <formula>IF($F44="低",1,0)</formula>
    </cfRule>
  </conditionalFormatting>
  <conditionalFormatting sqref="V44">
    <cfRule type="expression" dxfId="969" priority="254">
      <formula>IF($V44="★",1,0)</formula>
    </cfRule>
  </conditionalFormatting>
  <conditionalFormatting sqref="Y44">
    <cfRule type="expression" dxfId="968" priority="253" stopIfTrue="1">
      <formula>IF($F44="低",1,0)</formula>
    </cfRule>
  </conditionalFormatting>
  <conditionalFormatting sqref="Y44">
    <cfRule type="expression" dxfId="967" priority="252">
      <formula>IF($V44="★",1,0)</formula>
    </cfRule>
  </conditionalFormatting>
  <conditionalFormatting sqref="M44:O44">
    <cfRule type="expression" dxfId="966" priority="251" stopIfTrue="1">
      <formula>IF($F44="低",1,0)</formula>
    </cfRule>
  </conditionalFormatting>
  <conditionalFormatting sqref="W52:X52">
    <cfRule type="expression" dxfId="965" priority="190" stopIfTrue="1">
      <formula>IF($F52="低",1,0)</formula>
    </cfRule>
  </conditionalFormatting>
  <conditionalFormatting sqref="F36">
    <cfRule type="expression" dxfId="964" priority="233" stopIfTrue="1">
      <formula>IF($F36="低",1,0)</formula>
    </cfRule>
  </conditionalFormatting>
  <conditionalFormatting sqref="F36">
    <cfRule type="expression" dxfId="963" priority="232" stopIfTrue="1">
      <formula>IF($F36="高",1,0)</formula>
    </cfRule>
  </conditionalFormatting>
  <conditionalFormatting sqref="P52:R52">
    <cfRule type="expression" dxfId="962" priority="196" stopIfTrue="1">
      <formula>IF($F52="低",1,0)</formula>
    </cfRule>
  </conditionalFormatting>
  <conditionalFormatting sqref="J52:L52">
    <cfRule type="expression" dxfId="961" priority="194" stopIfTrue="1">
      <formula>IF($F52="低",1,0)</formula>
    </cfRule>
  </conditionalFormatting>
  <conditionalFormatting sqref="E44">
    <cfRule type="expression" dxfId="960" priority="175" stopIfTrue="1">
      <formula>IF($F44="低",1,0)</formula>
    </cfRule>
  </conditionalFormatting>
  <conditionalFormatting sqref="S52:U52">
    <cfRule type="expression" dxfId="959" priority="193" stopIfTrue="1">
      <formula>IF($F52="低",1,0)</formula>
    </cfRule>
  </conditionalFormatting>
  <conditionalFormatting sqref="C52">
    <cfRule type="expression" dxfId="958" priority="191" stopIfTrue="1">
      <formula>IF($F52="低",1,0)</formula>
    </cfRule>
  </conditionalFormatting>
  <conditionalFormatting sqref="Z52:AA52">
    <cfRule type="expression" dxfId="957" priority="189" stopIfTrue="1">
      <formula>IF($F52="低",1,0)</formula>
    </cfRule>
  </conditionalFormatting>
  <conditionalFormatting sqref="D52">
    <cfRule type="expression" dxfId="956" priority="188" stopIfTrue="1">
      <formula>IF($F52="低",1,0)</formula>
    </cfRule>
  </conditionalFormatting>
  <conditionalFormatting sqref="W52:X52">
    <cfRule type="expression" dxfId="955" priority="187">
      <formula>IF($V52="★",1,0)</formula>
    </cfRule>
  </conditionalFormatting>
  <conditionalFormatting sqref="Z52:AA52">
    <cfRule type="expression" dxfId="954" priority="186">
      <formula>IF($Y52="★",1,0)</formula>
    </cfRule>
  </conditionalFormatting>
  <conditionalFormatting sqref="V52">
    <cfRule type="expression" dxfId="953" priority="185" stopIfTrue="1">
      <formula>IF($F52="低",1,0)</formula>
    </cfRule>
  </conditionalFormatting>
  <conditionalFormatting sqref="V52">
    <cfRule type="expression" dxfId="952" priority="184">
      <formula>IF($V52="★",1,0)</formula>
    </cfRule>
  </conditionalFormatting>
  <conditionalFormatting sqref="Y52">
    <cfRule type="expression" dxfId="951" priority="183" stopIfTrue="1">
      <formula>IF($F52="低",1,0)</formula>
    </cfRule>
  </conditionalFormatting>
  <conditionalFormatting sqref="Y52">
    <cfRule type="expression" dxfId="950" priority="182">
      <formula>IF($V52="★",1,0)</formula>
    </cfRule>
  </conditionalFormatting>
  <conditionalFormatting sqref="M52:O52">
    <cfRule type="expression" dxfId="949" priority="181" stopIfTrue="1">
      <formula>IF($F52="低",1,0)</formula>
    </cfRule>
  </conditionalFormatting>
  <conditionalFormatting sqref="E36">
    <cfRule type="expression" dxfId="948" priority="176" stopIfTrue="1">
      <formula>IF($F36="低",1,0)</formula>
    </cfRule>
  </conditionalFormatting>
  <conditionalFormatting sqref="E52">
    <cfRule type="expression" dxfId="947" priority="172" stopIfTrue="1">
      <formula>IF($F52="低",1,0)</formula>
    </cfRule>
  </conditionalFormatting>
  <conditionalFormatting sqref="B31 B35:B37">
    <cfRule type="expression" dxfId="946" priority="171" stopIfTrue="1">
      <formula>IF($F31="低",1,0)</formula>
    </cfRule>
  </conditionalFormatting>
  <conditionalFormatting sqref="B44:B46 B50:B52">
    <cfRule type="expression" dxfId="945" priority="170" stopIfTrue="1">
      <formula>IF($F44="低",1,0)</formula>
    </cfRule>
  </conditionalFormatting>
  <conditionalFormatting sqref="C40:D40 F39:F40 J40:AA40">
    <cfRule type="expression" dxfId="944" priority="169" stopIfTrue="1">
      <formula>IF($F39="低",1,0)</formula>
    </cfRule>
  </conditionalFormatting>
  <conditionalFormatting sqref="P39:R39">
    <cfRule type="expression" dxfId="943" priority="165" stopIfTrue="1">
      <formula>IF($F39="低",1,0)</formula>
    </cfRule>
  </conditionalFormatting>
  <conditionalFormatting sqref="J39:L39">
    <cfRule type="expression" dxfId="942" priority="164" stopIfTrue="1">
      <formula>IF($F39="低",1,0)</formula>
    </cfRule>
  </conditionalFormatting>
  <conditionalFormatting sqref="C39">
    <cfRule type="expression" dxfId="941" priority="161" stopIfTrue="1">
      <formula>IF($F39="低",1,0)</formula>
    </cfRule>
  </conditionalFormatting>
  <conditionalFormatting sqref="S39:U39">
    <cfRule type="expression" dxfId="940" priority="163" stopIfTrue="1">
      <formula>IF($F39="低",1,0)</formula>
    </cfRule>
  </conditionalFormatting>
  <conditionalFormatting sqref="W39:X39">
    <cfRule type="expression" dxfId="939" priority="160" stopIfTrue="1">
      <formula>IF($F39="低",1,0)</formula>
    </cfRule>
  </conditionalFormatting>
  <conditionalFormatting sqref="Z39:AA39">
    <cfRule type="expression" dxfId="938" priority="159" stopIfTrue="1">
      <formula>IF($F39="低",1,0)</formula>
    </cfRule>
  </conditionalFormatting>
  <conditionalFormatting sqref="D39">
    <cfRule type="expression" dxfId="937" priority="158" stopIfTrue="1">
      <formula>IF($F39="低",1,0)</formula>
    </cfRule>
  </conditionalFormatting>
  <conditionalFormatting sqref="W39:X39">
    <cfRule type="expression" dxfId="936" priority="157">
      <formula>IF($V39="★",1,0)</formula>
    </cfRule>
  </conditionalFormatting>
  <conditionalFormatting sqref="Z39:AA39">
    <cfRule type="expression" dxfId="935" priority="156">
      <formula>IF($Y39="★",1,0)</formula>
    </cfRule>
  </conditionalFormatting>
  <conditionalFormatting sqref="V39">
    <cfRule type="expression" dxfId="934" priority="155" stopIfTrue="1">
      <formula>IF($F39="低",1,0)</formula>
    </cfRule>
  </conditionalFormatting>
  <conditionalFormatting sqref="V39">
    <cfRule type="expression" dxfId="933" priority="154">
      <formula>IF($V39="★",1,0)</formula>
    </cfRule>
  </conditionalFormatting>
  <conditionalFormatting sqref="Y39">
    <cfRule type="expression" dxfId="932" priority="153" stopIfTrue="1">
      <formula>IF($F39="低",1,0)</formula>
    </cfRule>
  </conditionalFormatting>
  <conditionalFormatting sqref="Y39">
    <cfRule type="expression" dxfId="931" priority="152">
      <formula>IF($V39="★",1,0)</formula>
    </cfRule>
  </conditionalFormatting>
  <conditionalFormatting sqref="M39:O39">
    <cfRule type="expression" dxfId="930" priority="151" stopIfTrue="1">
      <formula>IF($F39="低",1,0)</formula>
    </cfRule>
  </conditionalFormatting>
  <conditionalFormatting sqref="E39">
    <cfRule type="expression" dxfId="929" priority="150" stopIfTrue="1">
      <formula>IF($F39="低",1,0)</formula>
    </cfRule>
  </conditionalFormatting>
  <conditionalFormatting sqref="F47 C48:AA49">
    <cfRule type="expression" dxfId="928" priority="148" stopIfTrue="1">
      <formula>IF($F47="低",1,0)</formula>
    </cfRule>
  </conditionalFormatting>
  <conditionalFormatting sqref="F47:F49">
    <cfRule type="expression" dxfId="927" priority="147" stopIfTrue="1">
      <formula>IF($F47="高",1,0)</formula>
    </cfRule>
  </conditionalFormatting>
  <conditionalFormatting sqref="V48:Y49">
    <cfRule type="expression" dxfId="926" priority="146">
      <formula>IF($V48="★",1,0)</formula>
    </cfRule>
  </conditionalFormatting>
  <conditionalFormatting sqref="Z48:AA49">
    <cfRule type="expression" dxfId="925" priority="145">
      <formula>IF($Y48="★",1,0)</formula>
    </cfRule>
  </conditionalFormatting>
  <conditionalFormatting sqref="P47:R47">
    <cfRule type="expression" dxfId="924" priority="144" stopIfTrue="1">
      <formula>IF($F47="低",1,0)</formula>
    </cfRule>
  </conditionalFormatting>
  <conditionalFormatting sqref="J47:L47">
    <cfRule type="expression" dxfId="923" priority="143" stopIfTrue="1">
      <formula>IF($F47="低",1,0)</formula>
    </cfRule>
  </conditionalFormatting>
  <conditionalFormatting sqref="C47">
    <cfRule type="expression" dxfId="922" priority="140" stopIfTrue="1">
      <formula>IF($F47="低",1,0)</formula>
    </cfRule>
  </conditionalFormatting>
  <conditionalFormatting sqref="S47:U47">
    <cfRule type="expression" dxfId="921" priority="142" stopIfTrue="1">
      <formula>IF($F47="低",1,0)</formula>
    </cfRule>
  </conditionalFormatting>
  <conditionalFormatting sqref="W47:X47">
    <cfRule type="expression" dxfId="920" priority="139" stopIfTrue="1">
      <formula>IF($F47="低",1,0)</formula>
    </cfRule>
  </conditionalFormatting>
  <conditionalFormatting sqref="Z47:AA47">
    <cfRule type="expression" dxfId="919" priority="138" stopIfTrue="1">
      <formula>IF($F47="低",1,0)</formula>
    </cfRule>
  </conditionalFormatting>
  <conditionalFormatting sqref="D47">
    <cfRule type="expression" dxfId="918" priority="137" stopIfTrue="1">
      <formula>IF($F47="低",1,0)</formula>
    </cfRule>
  </conditionalFormatting>
  <conditionalFormatting sqref="W47:X47">
    <cfRule type="expression" dxfId="917" priority="136">
      <formula>IF($V47="★",1,0)</formula>
    </cfRule>
  </conditionalFormatting>
  <conditionalFormatting sqref="Z47:AA47">
    <cfRule type="expression" dxfId="916" priority="135">
      <formula>IF($Y47="★",1,0)</formula>
    </cfRule>
  </conditionalFormatting>
  <conditionalFormatting sqref="V47">
    <cfRule type="expression" dxfId="915" priority="134" stopIfTrue="1">
      <formula>IF($F47="低",1,0)</formula>
    </cfRule>
  </conditionalFormatting>
  <conditionalFormatting sqref="V47">
    <cfRule type="expression" dxfId="914" priority="133">
      <formula>IF($V47="★",1,0)</formula>
    </cfRule>
  </conditionalFormatting>
  <conditionalFormatting sqref="Y47">
    <cfRule type="expression" dxfId="913" priority="132" stopIfTrue="1">
      <formula>IF($F47="低",1,0)</formula>
    </cfRule>
  </conditionalFormatting>
  <conditionalFormatting sqref="Y47">
    <cfRule type="expression" dxfId="912" priority="131">
      <formula>IF($V47="★",1,0)</formula>
    </cfRule>
  </conditionalFormatting>
  <conditionalFormatting sqref="M47:O47">
    <cfRule type="expression" dxfId="911" priority="130" stopIfTrue="1">
      <formula>IF($F47="低",1,0)</formula>
    </cfRule>
  </conditionalFormatting>
  <conditionalFormatting sqref="E47">
    <cfRule type="expression" dxfId="910" priority="129" stopIfTrue="1">
      <formula>IF($F47="低",1,0)</formula>
    </cfRule>
  </conditionalFormatting>
  <conditionalFormatting sqref="B47:B49">
    <cfRule type="expression" dxfId="909" priority="128" stopIfTrue="1">
      <formula>IF($F47="低",1,0)</formula>
    </cfRule>
  </conditionalFormatting>
  <conditionalFormatting sqref="E40">
    <cfRule type="expression" dxfId="908" priority="127" stopIfTrue="1">
      <formula>IF($F40="低",1,0)</formula>
    </cfRule>
  </conditionalFormatting>
  <conditionalFormatting sqref="D62:D63">
    <cfRule type="expression" dxfId="907" priority="126" stopIfTrue="1">
      <formula>IF($F62="低",1,0)</formula>
    </cfRule>
  </conditionalFormatting>
  <conditionalFormatting sqref="C61">
    <cfRule type="expression" dxfId="906" priority="125" stopIfTrue="1">
      <formula>IF($F61="低",1,0)</formula>
    </cfRule>
  </conditionalFormatting>
  <conditionalFormatting sqref="D61">
    <cfRule type="expression" dxfId="905" priority="124" stopIfTrue="1">
      <formula>IF($F61="低",1,0)</formula>
    </cfRule>
  </conditionalFormatting>
  <conditionalFormatting sqref="E61">
    <cfRule type="expression" dxfId="904" priority="123" stopIfTrue="1">
      <formula>IF($F61="低",1,0)</formula>
    </cfRule>
  </conditionalFormatting>
  <conditionalFormatting sqref="E62">
    <cfRule type="expression" dxfId="903" priority="122" stopIfTrue="1">
      <formula>IF($F62="低",1,0)</formula>
    </cfRule>
  </conditionalFormatting>
  <conditionalFormatting sqref="E63">
    <cfRule type="expression" dxfId="902" priority="121" stopIfTrue="1">
      <formula>IF($F63="低",1,0)</formula>
    </cfRule>
  </conditionalFormatting>
  <conditionalFormatting sqref="C62">
    <cfRule type="expression" dxfId="901" priority="120" stopIfTrue="1">
      <formula>IF($F62="低",1,0)</formula>
    </cfRule>
  </conditionalFormatting>
  <conditionalFormatting sqref="C63">
    <cfRule type="expression" dxfId="900" priority="119" stopIfTrue="1">
      <formula>IF($F63="低",1,0)</formula>
    </cfRule>
  </conditionalFormatting>
  <conditionalFormatting sqref="B38:B39">
    <cfRule type="expression" dxfId="899" priority="118" stopIfTrue="1">
      <formula>IF($F38="低",1,0)</formula>
    </cfRule>
  </conditionalFormatting>
  <conditionalFormatting sqref="J30:L30">
    <cfRule type="expression" dxfId="898" priority="115" stopIfTrue="1">
      <formula>IF($F30="低",1,0)</formula>
    </cfRule>
  </conditionalFormatting>
  <conditionalFormatting sqref="E30">
    <cfRule type="expression" dxfId="897" priority="116" stopIfTrue="1">
      <formula>IF($F30="低",1,0)</formula>
    </cfRule>
  </conditionalFormatting>
  <conditionalFormatting sqref="P30:R30">
    <cfRule type="expression" dxfId="896" priority="117" stopIfTrue="1">
      <formula>IF($F30="低",1,0)</formula>
    </cfRule>
  </conditionalFormatting>
  <conditionalFormatting sqref="S30:U30">
    <cfRule type="expression" dxfId="895" priority="114" stopIfTrue="1">
      <formula>IF($F30="低",1,0)</formula>
    </cfRule>
  </conditionalFormatting>
  <conditionalFormatting sqref="B30">
    <cfRule type="expression" dxfId="894" priority="100" stopIfTrue="1">
      <formula>IF($F30="低",1,0)</formula>
    </cfRule>
  </conditionalFormatting>
  <conditionalFormatting sqref="W32:X32">
    <cfRule type="expression" dxfId="893" priority="88" stopIfTrue="1">
      <formula>IF($F32="低",1,0)</formula>
    </cfRule>
  </conditionalFormatting>
  <conditionalFormatting sqref="D30">
    <cfRule type="expression" dxfId="892" priority="111" stopIfTrue="1">
      <formula>IF($F30="低",1,0)</formula>
    </cfRule>
  </conditionalFormatting>
  <conditionalFormatting sqref="W30:X30">
    <cfRule type="expression" dxfId="891" priority="110" stopIfTrue="1">
      <formula>IF($F30="低",1,0)</formula>
    </cfRule>
  </conditionalFormatting>
  <conditionalFormatting sqref="Z30:AA30">
    <cfRule type="expression" dxfId="890" priority="109" stopIfTrue="1">
      <formula>IF($F30="低",1,0)</formula>
    </cfRule>
  </conditionalFormatting>
  <conditionalFormatting sqref="V30">
    <cfRule type="expression" dxfId="889" priority="108" stopIfTrue="1">
      <formula>IF($F30="低",1,0)</formula>
    </cfRule>
  </conditionalFormatting>
  <conditionalFormatting sqref="V30:X30">
    <cfRule type="expression" dxfId="888" priority="107">
      <formula>IF($V30="★",1,0)</formula>
    </cfRule>
  </conditionalFormatting>
  <conditionalFormatting sqref="Z30:AA30">
    <cfRule type="expression" dxfId="887" priority="106">
      <formula>IF($Y30="★",1,0)</formula>
    </cfRule>
  </conditionalFormatting>
  <conditionalFormatting sqref="Y30">
    <cfRule type="expression" dxfId="886" priority="105" stopIfTrue="1">
      <formula>IF($F30="低",1,0)</formula>
    </cfRule>
  </conditionalFormatting>
  <conditionalFormatting sqref="Y30">
    <cfRule type="expression" dxfId="885" priority="104">
      <formula>IF($V30="★",1,0)</formula>
    </cfRule>
  </conditionalFormatting>
  <conditionalFormatting sqref="M30:O30">
    <cfRule type="expression" dxfId="884" priority="103" stopIfTrue="1">
      <formula>IF($F30="低",1,0)</formula>
    </cfRule>
  </conditionalFormatting>
  <conditionalFormatting sqref="F30">
    <cfRule type="expression" dxfId="883" priority="102" stopIfTrue="1">
      <formula>IF($F30="低",1,0)</formula>
    </cfRule>
  </conditionalFormatting>
  <conditionalFormatting sqref="F30">
    <cfRule type="expression" dxfId="882" priority="101" stopIfTrue="1">
      <formula>IF($F30="高",1,0)</formula>
    </cfRule>
  </conditionalFormatting>
  <conditionalFormatting sqref="G12:I12">
    <cfRule type="expression" dxfId="881" priority="99" stopIfTrue="1">
      <formula>IF($F12="低",1,0)</formula>
    </cfRule>
  </conditionalFormatting>
  <conditionalFormatting sqref="F32 C34:F34 J34:AA34">
    <cfRule type="expression" dxfId="880" priority="98" stopIfTrue="1">
      <formula>IF($F32="低",1,0)</formula>
    </cfRule>
  </conditionalFormatting>
  <conditionalFormatting sqref="F32 F34">
    <cfRule type="expression" dxfId="879" priority="97" stopIfTrue="1">
      <formula>IF($F32="高",1,0)</formula>
    </cfRule>
  </conditionalFormatting>
  <conditionalFormatting sqref="V34:Y34">
    <cfRule type="expression" dxfId="878" priority="96">
      <formula>IF($V34="★",1,0)</formula>
    </cfRule>
  </conditionalFormatting>
  <conditionalFormatting sqref="Z34:AA34">
    <cfRule type="expression" dxfId="877" priority="95">
      <formula>IF($Y34="★",1,0)</formula>
    </cfRule>
  </conditionalFormatting>
  <conditionalFormatting sqref="P32:R32">
    <cfRule type="expression" dxfId="876" priority="94" stopIfTrue="1">
      <formula>IF($F32="低",1,0)</formula>
    </cfRule>
  </conditionalFormatting>
  <conditionalFormatting sqref="J32:L32">
    <cfRule type="expression" dxfId="875" priority="92" stopIfTrue="1">
      <formula>IF($F32="低",1,0)</formula>
    </cfRule>
  </conditionalFormatting>
  <conditionalFormatting sqref="E32">
    <cfRule type="expression" dxfId="874" priority="93" stopIfTrue="1">
      <formula>IF($F32="低",1,0)</formula>
    </cfRule>
  </conditionalFormatting>
  <conditionalFormatting sqref="S32:U32">
    <cfRule type="expression" dxfId="873" priority="91" stopIfTrue="1">
      <formula>IF($F32="低",1,0)</formula>
    </cfRule>
  </conditionalFormatting>
  <conditionalFormatting sqref="C32:C33">
    <cfRule type="expression" dxfId="872" priority="89" stopIfTrue="1">
      <formula>IF($F32="低",1,0)</formula>
    </cfRule>
  </conditionalFormatting>
  <conditionalFormatting sqref="Z32:AA32">
    <cfRule type="expression" dxfId="871" priority="87" stopIfTrue="1">
      <formula>IF($F32="低",1,0)</formula>
    </cfRule>
  </conditionalFormatting>
  <conditionalFormatting sqref="D32">
    <cfRule type="expression" dxfId="870" priority="86" stopIfTrue="1">
      <formula>IF($F32="低",1,0)</formula>
    </cfRule>
  </conditionalFormatting>
  <conditionalFormatting sqref="W32:X32">
    <cfRule type="expression" dxfId="869" priority="85">
      <formula>IF($V32="★",1,0)</formula>
    </cfRule>
  </conditionalFormatting>
  <conditionalFormatting sqref="Z32:AA32">
    <cfRule type="expression" dxfId="868" priority="84">
      <formula>IF($Y32="★",1,0)</formula>
    </cfRule>
  </conditionalFormatting>
  <conditionalFormatting sqref="V32">
    <cfRule type="expression" dxfId="867" priority="83" stopIfTrue="1">
      <formula>IF($F32="低",1,0)</formula>
    </cfRule>
  </conditionalFormatting>
  <conditionalFormatting sqref="V32">
    <cfRule type="expression" dxfId="866" priority="82">
      <formula>IF($V32="★",1,0)</formula>
    </cfRule>
  </conditionalFormatting>
  <conditionalFormatting sqref="Y32">
    <cfRule type="expression" dxfId="865" priority="81" stopIfTrue="1">
      <formula>IF($F32="低",1,0)</formula>
    </cfRule>
  </conditionalFormatting>
  <conditionalFormatting sqref="Y32">
    <cfRule type="expression" dxfId="864" priority="80">
      <formula>IF($V32="★",1,0)</formula>
    </cfRule>
  </conditionalFormatting>
  <conditionalFormatting sqref="M32:O32">
    <cfRule type="expression" dxfId="863" priority="79" stopIfTrue="1">
      <formula>IF($F32="低",1,0)</formula>
    </cfRule>
  </conditionalFormatting>
  <conditionalFormatting sqref="P33:R33">
    <cfRule type="expression" dxfId="862" priority="78" stopIfTrue="1">
      <formula>IF($F33="低",1,0)</formula>
    </cfRule>
  </conditionalFormatting>
  <conditionalFormatting sqref="J33:L33">
    <cfRule type="expression" dxfId="861" priority="77" stopIfTrue="1">
      <formula>IF($F33="低",1,0)</formula>
    </cfRule>
  </conditionalFormatting>
  <conditionalFormatting sqref="W33:X33">
    <cfRule type="expression" dxfId="860" priority="73" stopIfTrue="1">
      <formula>IF($F33="低",1,0)</formula>
    </cfRule>
  </conditionalFormatting>
  <conditionalFormatting sqref="S33:U33">
    <cfRule type="expression" dxfId="859" priority="76" stopIfTrue="1">
      <formula>IF($F33="低",1,0)</formula>
    </cfRule>
  </conditionalFormatting>
  <conditionalFormatting sqref="F33">
    <cfRule type="expression" dxfId="858" priority="63" stopIfTrue="1">
      <formula>IF($F33="低",1,0)</formula>
    </cfRule>
  </conditionalFormatting>
  <conditionalFormatting sqref="C42">
    <cfRule type="expression" dxfId="857" priority="50" stopIfTrue="1">
      <formula>IF($F42="低",1,0)</formula>
    </cfRule>
  </conditionalFormatting>
  <conditionalFormatting sqref="Z33:AA33">
    <cfRule type="expression" dxfId="856" priority="72" stopIfTrue="1">
      <formula>IF($F33="低",1,0)</formula>
    </cfRule>
  </conditionalFormatting>
  <conditionalFormatting sqref="D33">
    <cfRule type="expression" dxfId="855" priority="71" stopIfTrue="1">
      <formula>IF($F33="低",1,0)</formula>
    </cfRule>
  </conditionalFormatting>
  <conditionalFormatting sqref="W33:X33">
    <cfRule type="expression" dxfId="854" priority="70">
      <formula>IF($V33="★",1,0)</formula>
    </cfRule>
  </conditionalFormatting>
  <conditionalFormatting sqref="Z33:AA33">
    <cfRule type="expression" dxfId="853" priority="69">
      <formula>IF($Y33="★",1,0)</formula>
    </cfRule>
  </conditionalFormatting>
  <conditionalFormatting sqref="V33">
    <cfRule type="expression" dxfId="852" priority="68" stopIfTrue="1">
      <formula>IF($F33="低",1,0)</formula>
    </cfRule>
  </conditionalFormatting>
  <conditionalFormatting sqref="V33">
    <cfRule type="expression" dxfId="851" priority="67">
      <formula>IF($V33="★",1,0)</formula>
    </cfRule>
  </conditionalFormatting>
  <conditionalFormatting sqref="Y33">
    <cfRule type="expression" dxfId="850" priority="66" stopIfTrue="1">
      <formula>IF($F33="低",1,0)</formula>
    </cfRule>
  </conditionalFormatting>
  <conditionalFormatting sqref="Y33">
    <cfRule type="expression" dxfId="849" priority="65">
      <formula>IF($V33="★",1,0)</formula>
    </cfRule>
  </conditionalFormatting>
  <conditionalFormatting sqref="M33:O33">
    <cfRule type="expression" dxfId="848" priority="64" stopIfTrue="1">
      <formula>IF($F33="低",1,0)</formula>
    </cfRule>
  </conditionalFormatting>
  <conditionalFormatting sqref="F33">
    <cfRule type="expression" dxfId="847" priority="62" stopIfTrue="1">
      <formula>IF($F33="高",1,0)</formula>
    </cfRule>
  </conditionalFormatting>
  <conditionalFormatting sqref="E33">
    <cfRule type="expression" dxfId="846" priority="61" stopIfTrue="1">
      <formula>IF($F33="低",1,0)</formula>
    </cfRule>
  </conditionalFormatting>
  <conditionalFormatting sqref="B32:B34">
    <cfRule type="expression" dxfId="845" priority="60" stopIfTrue="1">
      <formula>IF($F32="低",1,0)</formula>
    </cfRule>
  </conditionalFormatting>
  <conditionalFormatting sqref="C41:F41 B43 J41:AA41">
    <cfRule type="expression" dxfId="844" priority="59" stopIfTrue="1">
      <formula>IF($F41="低",1,0)</formula>
    </cfRule>
  </conditionalFormatting>
  <conditionalFormatting sqref="F41:F43">
    <cfRule type="expression" dxfId="843" priority="58" stopIfTrue="1">
      <formula>IF($F41="高",1,0)</formula>
    </cfRule>
  </conditionalFormatting>
  <conditionalFormatting sqref="V43:Y43 V41:Y41">
    <cfRule type="expression" dxfId="842" priority="57">
      <formula>IF($V41="★",1,0)</formula>
    </cfRule>
  </conditionalFormatting>
  <conditionalFormatting sqref="Z43:AA43 Z41:AA41">
    <cfRule type="expression" dxfId="841" priority="56">
      <formula>IF($Y41="★",1,0)</formula>
    </cfRule>
  </conditionalFormatting>
  <conditionalFormatting sqref="C43:D43 F42:F43 J43:AA43">
    <cfRule type="expression" dxfId="840" priority="55" stopIfTrue="1">
      <formula>IF($F42="低",1,0)</formula>
    </cfRule>
  </conditionalFormatting>
  <conditionalFormatting sqref="P42:R42">
    <cfRule type="expression" dxfId="839" priority="54" stopIfTrue="1">
      <formula>IF($F42="低",1,0)</formula>
    </cfRule>
  </conditionalFormatting>
  <conditionalFormatting sqref="J42:L42">
    <cfRule type="expression" dxfId="838" priority="53" stopIfTrue="1">
      <formula>IF($F42="低",1,0)</formula>
    </cfRule>
  </conditionalFormatting>
  <conditionalFormatting sqref="S42:U42">
    <cfRule type="expression" dxfId="837" priority="52" stopIfTrue="1">
      <formula>IF($F42="低",1,0)</formula>
    </cfRule>
  </conditionalFormatting>
  <conditionalFormatting sqref="W42:X42">
    <cfRule type="expression" dxfId="836" priority="49" stopIfTrue="1">
      <formula>IF($F42="低",1,0)</formula>
    </cfRule>
  </conditionalFormatting>
  <conditionalFormatting sqref="Z42:AA42">
    <cfRule type="expression" dxfId="835" priority="48" stopIfTrue="1">
      <formula>IF($F42="低",1,0)</formula>
    </cfRule>
  </conditionalFormatting>
  <conditionalFormatting sqref="D42">
    <cfRule type="expression" dxfId="834" priority="47" stopIfTrue="1">
      <formula>IF($F42="低",1,0)</formula>
    </cfRule>
  </conditionalFormatting>
  <conditionalFormatting sqref="W42:X42">
    <cfRule type="expression" dxfId="833" priority="46">
      <formula>IF($V42="★",1,0)</formula>
    </cfRule>
  </conditionalFormatting>
  <conditionalFormatting sqref="Z42:AA42">
    <cfRule type="expression" dxfId="832" priority="45">
      <formula>IF($Y42="★",1,0)</formula>
    </cfRule>
  </conditionalFormatting>
  <conditionalFormatting sqref="V42">
    <cfRule type="expression" dxfId="831" priority="44" stopIfTrue="1">
      <formula>IF($F42="低",1,0)</formula>
    </cfRule>
  </conditionalFormatting>
  <conditionalFormatting sqref="V42">
    <cfRule type="expression" dxfId="830" priority="43">
      <formula>IF($V42="★",1,0)</formula>
    </cfRule>
  </conditionalFormatting>
  <conditionalFormatting sqref="Y42">
    <cfRule type="expression" dxfId="829" priority="42" stopIfTrue="1">
      <formula>IF($F42="低",1,0)</formula>
    </cfRule>
  </conditionalFormatting>
  <conditionalFormatting sqref="Y42">
    <cfRule type="expression" dxfId="828" priority="41">
      <formula>IF($V42="★",1,0)</formula>
    </cfRule>
  </conditionalFormatting>
  <conditionalFormatting sqref="M42:O42">
    <cfRule type="expression" dxfId="827" priority="40" stopIfTrue="1">
      <formula>IF($F42="低",1,0)</formula>
    </cfRule>
  </conditionalFormatting>
  <conditionalFormatting sqref="E42">
    <cfRule type="expression" dxfId="826" priority="39" stopIfTrue="1">
      <formula>IF($F42="低",1,0)</formula>
    </cfRule>
  </conditionalFormatting>
  <conditionalFormatting sqref="E43">
    <cfRule type="expression" dxfId="825" priority="38" stopIfTrue="1">
      <formula>IF($F43="低",1,0)</formula>
    </cfRule>
  </conditionalFormatting>
  <conditionalFormatting sqref="B41:B42">
    <cfRule type="expression" dxfId="824" priority="37" stopIfTrue="1">
      <formula>IF($F41="低",1,0)</formula>
    </cfRule>
  </conditionalFormatting>
  <conditionalFormatting sqref="G32:I32">
    <cfRule type="expression" dxfId="823" priority="36" stopIfTrue="1">
      <formula>IF($F32="低",1,0)</formula>
    </cfRule>
  </conditionalFormatting>
  <conditionalFormatting sqref="G36:I36">
    <cfRule type="expression" dxfId="822" priority="35" stopIfTrue="1">
      <formula>IF($F36="低",1,0)</formula>
    </cfRule>
  </conditionalFormatting>
  <conditionalFormatting sqref="G13:H13">
    <cfRule type="expression" dxfId="821" priority="34" stopIfTrue="1">
      <formula>IF($F13="低",1,0)</formula>
    </cfRule>
  </conditionalFormatting>
  <conditionalFormatting sqref="H16:I16">
    <cfRule type="expression" dxfId="820" priority="33" stopIfTrue="1">
      <formula>IF($F16="低",1,0)</formula>
    </cfRule>
  </conditionalFormatting>
  <conditionalFormatting sqref="G17">
    <cfRule type="expression" dxfId="819" priority="32" stopIfTrue="1">
      <formula>IF($F17="低",1,0)</formula>
    </cfRule>
  </conditionalFormatting>
  <conditionalFormatting sqref="H17:I17">
    <cfRule type="expression" dxfId="818" priority="31" stopIfTrue="1">
      <formula>IF($F17="低",1,0)</formula>
    </cfRule>
  </conditionalFormatting>
  <conditionalFormatting sqref="G18:G19">
    <cfRule type="expression" dxfId="817" priority="30" stopIfTrue="1">
      <formula>IF($F18="低",1,0)</formula>
    </cfRule>
  </conditionalFormatting>
  <conditionalFormatting sqref="H18:I19">
    <cfRule type="expression" dxfId="816" priority="29" stopIfTrue="1">
      <formula>IF($F18="低",1,0)</formula>
    </cfRule>
  </conditionalFormatting>
  <conditionalFormatting sqref="G20">
    <cfRule type="expression" dxfId="815" priority="28" stopIfTrue="1">
      <formula>IF($F20="低",1,0)</formula>
    </cfRule>
  </conditionalFormatting>
  <conditionalFormatting sqref="H20">
    <cfRule type="expression" dxfId="814" priority="27" stopIfTrue="1">
      <formula>IF($F20="低",1,0)</formula>
    </cfRule>
  </conditionalFormatting>
  <conditionalFormatting sqref="I20">
    <cfRule type="expression" dxfId="813" priority="26" stopIfTrue="1">
      <formula>IF($F20="低",1,0)</formula>
    </cfRule>
  </conditionalFormatting>
  <conditionalFormatting sqref="G21:I31">
    <cfRule type="expression" dxfId="812" priority="25" stopIfTrue="1">
      <formula>IF($F21="低",1,0)</formula>
    </cfRule>
  </conditionalFormatting>
  <conditionalFormatting sqref="G33:I33">
    <cfRule type="expression" dxfId="811" priority="24" stopIfTrue="1">
      <formula>IF($F33="低",1,0)</formula>
    </cfRule>
  </conditionalFormatting>
  <conditionalFormatting sqref="G34:I34">
    <cfRule type="expression" dxfId="810" priority="23" stopIfTrue="1">
      <formula>IF($F34="低",1,0)</formula>
    </cfRule>
  </conditionalFormatting>
  <conditionalFormatting sqref="G37:I37">
    <cfRule type="expression" dxfId="809" priority="22" stopIfTrue="1">
      <formula>IF($F37="低",1,0)</formula>
    </cfRule>
  </conditionalFormatting>
  <conditionalFormatting sqref="G55:I55">
    <cfRule type="expression" dxfId="808" priority="21" stopIfTrue="1">
      <formula>IF($F55="低",1,0)</formula>
    </cfRule>
  </conditionalFormatting>
  <conditionalFormatting sqref="G56:I56">
    <cfRule type="expression" dxfId="807" priority="20" stopIfTrue="1">
      <formula>IF($F56="低",1,0)</formula>
    </cfRule>
  </conditionalFormatting>
  <conditionalFormatting sqref="G57:I57">
    <cfRule type="expression" dxfId="806" priority="19" stopIfTrue="1">
      <formula>IF($F57="低",1,0)</formula>
    </cfRule>
  </conditionalFormatting>
  <conditionalFormatting sqref="G39:I39">
    <cfRule type="expression" dxfId="805" priority="18" stopIfTrue="1">
      <formula>IF($F39="低",1,0)</formula>
    </cfRule>
  </conditionalFormatting>
  <conditionalFormatting sqref="G40:I40">
    <cfRule type="expression" dxfId="804" priority="17" stopIfTrue="1">
      <formula>IF($F40="低",1,0)</formula>
    </cfRule>
  </conditionalFormatting>
  <conditionalFormatting sqref="G38:I38">
    <cfRule type="expression" dxfId="803" priority="16" stopIfTrue="1">
      <formula>IF($F38="低",1,0)</formula>
    </cfRule>
  </conditionalFormatting>
  <conditionalFormatting sqref="G41:I41">
    <cfRule type="expression" dxfId="802" priority="15" stopIfTrue="1">
      <formula>IF($F41="低",1,0)</formula>
    </cfRule>
  </conditionalFormatting>
  <conditionalFormatting sqref="G42:I42">
    <cfRule type="expression" dxfId="801" priority="14" stopIfTrue="1">
      <formula>IF($F42="低",1,0)</formula>
    </cfRule>
  </conditionalFormatting>
  <conditionalFormatting sqref="G43:I43">
    <cfRule type="expression" dxfId="800" priority="13" stopIfTrue="1">
      <formula>IF($F43="低",1,0)</formula>
    </cfRule>
  </conditionalFormatting>
  <conditionalFormatting sqref="G47:I47">
    <cfRule type="expression" dxfId="799" priority="12" stopIfTrue="1">
      <formula>IF($F47="低",1,0)</formula>
    </cfRule>
  </conditionalFormatting>
  <conditionalFormatting sqref="G51:I51">
    <cfRule type="expression" dxfId="798" priority="11" stopIfTrue="1">
      <formula>IF($F51="低",1,0)</formula>
    </cfRule>
  </conditionalFormatting>
  <conditionalFormatting sqref="G45:I45">
    <cfRule type="expression" dxfId="797" priority="10" stopIfTrue="1">
      <formula>IF($F45="低",1,0)</formula>
    </cfRule>
  </conditionalFormatting>
  <conditionalFormatting sqref="G44:I44">
    <cfRule type="expression" dxfId="796" priority="9" stopIfTrue="1">
      <formula>IF($F44="低",1,0)</formula>
    </cfRule>
  </conditionalFormatting>
  <conditionalFormatting sqref="G52:I52">
    <cfRule type="expression" dxfId="795" priority="8" stopIfTrue="1">
      <formula>IF($F52="低",1,0)</formula>
    </cfRule>
  </conditionalFormatting>
  <conditionalFormatting sqref="G46:I46">
    <cfRule type="expression" dxfId="794" priority="7" stopIfTrue="1">
      <formula>IF($F46="低",1,0)</formula>
    </cfRule>
  </conditionalFormatting>
  <conditionalFormatting sqref="G50:I50">
    <cfRule type="expression" dxfId="793" priority="6" stopIfTrue="1">
      <formula>IF($F50="低",1,0)</formula>
    </cfRule>
  </conditionalFormatting>
  <conditionalFormatting sqref="G58:I59">
    <cfRule type="expression" dxfId="792" priority="5" stopIfTrue="1">
      <formula>IF($F58="低",1,0)</formula>
    </cfRule>
  </conditionalFormatting>
  <conditionalFormatting sqref="G61:I62">
    <cfRule type="expression" dxfId="791" priority="4" stopIfTrue="1">
      <formula>IF($F61="低",1,0)</formula>
    </cfRule>
  </conditionalFormatting>
  <conditionalFormatting sqref="G63:I63">
    <cfRule type="expression" dxfId="790" priority="3" stopIfTrue="1">
      <formula>IF($F63="低",1,0)</formula>
    </cfRule>
  </conditionalFormatting>
  <conditionalFormatting sqref="G60:I60">
    <cfRule type="expression" dxfId="789" priority="2" stopIfTrue="1">
      <formula>IF($F60="低",1,0)</formula>
    </cfRule>
  </conditionalFormatting>
  <conditionalFormatting sqref="G14:I15">
    <cfRule type="expression" dxfId="788" priority="1" stopIfTrue="1">
      <formula>IF($F14="低",1,0)</formula>
    </cfRule>
  </conditionalFormatting>
  <dataValidations count="1">
    <dataValidation type="list" allowBlank="1" showInputMessage="1" showErrorMessage="1" sqref="F55:F67 F12:F53">
      <formula1>"高,中,低"</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V137"/>
  <sheetViews>
    <sheetView showGridLines="0" topLeftCell="A34" zoomScale="85" zoomScaleNormal="85" workbookViewId="0">
      <selection activeCell="E14" sqref="E14"/>
    </sheetView>
  </sheetViews>
  <sheetFormatPr defaultColWidth="9" defaultRowHeight="13"/>
  <cols>
    <col min="1" max="1" width="3.453125" style="4" customWidth="1"/>
    <col min="2" max="2" width="10.90625" style="4" customWidth="1"/>
    <col min="3" max="3" width="30" style="4" customWidth="1"/>
    <col min="4" max="5" width="49.36328125" style="4" customWidth="1"/>
    <col min="6" max="6" width="6" style="4" customWidth="1"/>
    <col min="7" max="21" width="7.453125" style="5" customWidth="1"/>
    <col min="22" max="16384" width="9" style="4"/>
  </cols>
  <sheetData>
    <row r="1" spans="2:22" ht="13.5" thickBot="1">
      <c r="V1" s="6">
        <f>SUM(H4,K4,N4,Q4,T4)</f>
        <v>103</v>
      </c>
    </row>
    <row r="2" spans="2:22" ht="18.75" customHeight="1">
      <c r="B2" s="7" t="s">
        <v>10</v>
      </c>
      <c r="C2" s="8" t="s">
        <v>574</v>
      </c>
      <c r="D2" s="4" t="s">
        <v>19</v>
      </c>
      <c r="E2" s="9"/>
      <c r="J2" s="5" t="s">
        <v>42</v>
      </c>
      <c r="K2" s="5">
        <f>COUNTIF(J:J,"★")</f>
        <v>0</v>
      </c>
      <c r="M2" s="5" t="s">
        <v>42</v>
      </c>
      <c r="N2" s="5">
        <f>COUNTIF(M:M,"★")</f>
        <v>0</v>
      </c>
      <c r="S2" s="5" t="s">
        <v>42</v>
      </c>
      <c r="T2" s="5">
        <f>COUNTIF(S:S,"★")</f>
        <v>0</v>
      </c>
      <c r="V2" s="6">
        <f>SUM(H5,K5,N5,Q5,T5)</f>
        <v>0</v>
      </c>
    </row>
    <row r="3" spans="2:22" ht="18.75" customHeight="1">
      <c r="B3" s="11" t="s">
        <v>12</v>
      </c>
      <c r="C3" s="12" t="s">
        <v>17</v>
      </c>
      <c r="D3" s="4" t="s">
        <v>20</v>
      </c>
      <c r="J3" s="5" t="s">
        <v>43</v>
      </c>
      <c r="K3" s="13">
        <f>SUM($F$4:$F$6)-K2</f>
        <v>103</v>
      </c>
      <c r="M3" s="5" t="s">
        <v>43</v>
      </c>
      <c r="N3" s="13">
        <f>SUM($F$4:$F$6)-N2</f>
        <v>103</v>
      </c>
      <c r="S3" s="5" t="s">
        <v>43</v>
      </c>
      <c r="T3" s="13">
        <f>SUM($F$4:$F$6)-T2</f>
        <v>103</v>
      </c>
      <c r="V3" s="6">
        <f>SUM(H6,K6,N6,Q6,T6)</f>
        <v>0</v>
      </c>
    </row>
    <row r="4" spans="2:22" ht="18.75" customHeight="1">
      <c r="B4" s="11" t="s">
        <v>11</v>
      </c>
      <c r="C4" s="12" t="s">
        <v>55</v>
      </c>
      <c r="E4" s="14" t="s">
        <v>14</v>
      </c>
      <c r="F4" s="4">
        <f>COUNTIF($F$12:$F$282, "高")</f>
        <v>103</v>
      </c>
      <c r="H4" s="5">
        <f>COUNTIFS($F12:$F282,"高",I12:I282,"OK")+COUNTIFS($F12:$F282,"高",I12:I282,"NG→OK")</f>
        <v>103</v>
      </c>
      <c r="I4" s="5">
        <f>COUNTIFS($F12:$F282,"高",I12:I282,"NG")</f>
        <v>0</v>
      </c>
      <c r="K4" s="5">
        <f>COUNTIFS($F12:$F282,"高",L12:L282,"OK")</f>
        <v>0</v>
      </c>
      <c r="L4" s="5">
        <f>COUNTIFS($F12:$F282,"高",L12:L282,"NG")</f>
        <v>0</v>
      </c>
      <c r="N4" s="5">
        <f>COUNTIFS($F12:$F282,"高",O12:O282,"OK")+COUNTIFS($F12:$F282,"高",O12:O282,"NG→OK")</f>
        <v>0</v>
      </c>
      <c r="O4" s="5">
        <f>COUNTIFS($F12:$F282,"高",O12:O282,"NG")</f>
        <v>0</v>
      </c>
      <c r="P4" s="10"/>
      <c r="Q4" s="5">
        <f>COUNTIFS($F12:$F282,"高",R12:R282,"OK")</f>
        <v>0</v>
      </c>
      <c r="R4" s="5">
        <f>COUNTIFS($F12:$F282,"高",R12:R282,"NG")</f>
        <v>0</v>
      </c>
      <c r="T4" s="5">
        <f>COUNTIFS($F12:$F282,"高",U12:U282,"OK")</f>
        <v>0</v>
      </c>
      <c r="U4" s="5">
        <f>COUNTIFS($F12:$F282,"高",U12:U282,"NG")</f>
        <v>0</v>
      </c>
      <c r="V4" s="6">
        <f>SUM(I4,L4,O4,R4,U4)</f>
        <v>0</v>
      </c>
    </row>
    <row r="5" spans="2:22" ht="18.75" customHeight="1">
      <c r="B5" s="15" t="s">
        <v>8</v>
      </c>
      <c r="C5" s="16" t="s">
        <v>18</v>
      </c>
      <c r="D5" s="17" t="s">
        <v>33</v>
      </c>
      <c r="E5" s="14" t="s">
        <v>15</v>
      </c>
      <c r="F5" s="4">
        <f>COUNTIF($F$12:$F$282, "中")</f>
        <v>0</v>
      </c>
      <c r="H5" s="5">
        <f>COUNTIFS($F12:$F282,"中",I12:I282,"OK")</f>
        <v>0</v>
      </c>
      <c r="I5" s="5">
        <f>COUNTIFS($F12:$F282,"中",I12:I282,"NG")</f>
        <v>0</v>
      </c>
      <c r="K5" s="5">
        <f>COUNTIFS($F12:$F282,"中",L12:L282,"OK")</f>
        <v>0</v>
      </c>
      <c r="L5" s="5">
        <f>COUNTIFS($F12:$F282,"中",L12:L282,"NG")</f>
        <v>0</v>
      </c>
      <c r="N5" s="5">
        <f>COUNTIFS($F12:$F282,"中",O12:O282,"OK")+COUNTIFS($F12:$F282,"中",O12:O282,"NG→OK")</f>
        <v>0</v>
      </c>
      <c r="O5" s="5">
        <f>COUNTIFS($F12:$F282,"中",O12:O282,"NG")</f>
        <v>0</v>
      </c>
      <c r="P5" s="10"/>
      <c r="Q5" s="5">
        <f>COUNTIFS($F12:$F282,"中",R12:R282,"OK")</f>
        <v>0</v>
      </c>
      <c r="R5" s="5">
        <f>COUNTIFS($F12:$F282,"中",R12:R282,"NG")</f>
        <v>0</v>
      </c>
      <c r="T5" s="5">
        <f>COUNTIFS($F12:$F282,"中",U12:U282,"OK")</f>
        <v>0</v>
      </c>
      <c r="U5" s="5">
        <f>COUNTIFS($F12:$F282,"中",U12:U282,"NG")</f>
        <v>0</v>
      </c>
      <c r="V5" s="6">
        <f>SUM(I5,L5,O5,R5,U5)</f>
        <v>0</v>
      </c>
    </row>
    <row r="6" spans="2:22" ht="18.75" customHeight="1" thickBot="1">
      <c r="B6" s="18" t="s">
        <v>9</v>
      </c>
      <c r="C6" s="19">
        <v>44936</v>
      </c>
      <c r="D6" s="4" t="s">
        <v>45</v>
      </c>
      <c r="E6" s="14" t="s">
        <v>16</v>
      </c>
      <c r="F6" s="4">
        <f>COUNTIF($F$12:$F$282, "低")</f>
        <v>0</v>
      </c>
      <c r="H6" s="5">
        <f>COUNTIFS($F12:$F282,"低",I12:I282,"OK")</f>
        <v>0</v>
      </c>
      <c r="I6" s="5">
        <f>COUNTIFS($F12:$F282,"低",I12:I282,"NG")</f>
        <v>0</v>
      </c>
      <c r="K6" s="5">
        <f>COUNTIFS($F12:$F282,"低",L12:L282,"OK")</f>
        <v>0</v>
      </c>
      <c r="L6" s="5">
        <f>COUNTIFS($F12:$F282,"低",L12:L282,"NG")</f>
        <v>0</v>
      </c>
      <c r="N6" s="5">
        <f>COUNTIFS($F12:$F282,"低",O12:O282,"OK")</f>
        <v>0</v>
      </c>
      <c r="O6" s="5">
        <f>COUNTIFS($F12:$F282,"低",O12:O282,"NG")</f>
        <v>0</v>
      </c>
      <c r="P6" s="10"/>
      <c r="Q6" s="5">
        <f>COUNTIFS($F12:$F282,"低",R12:R282,"OK")</f>
        <v>0</v>
      </c>
      <c r="R6" s="5">
        <f>COUNTIFS($F12:$F282,"低",R12:R282,"NG")</f>
        <v>0</v>
      </c>
      <c r="T6" s="5">
        <f>COUNTIFS($F12:$F282,"低",U12:U282,"OK")</f>
        <v>0</v>
      </c>
      <c r="U6" s="5">
        <f>COUNTIFS($F12:$F282,"低",U12:U282,"NG")</f>
        <v>0</v>
      </c>
      <c r="V6" s="6">
        <f>SUM(I6,L6,O6,R6,U6)</f>
        <v>0</v>
      </c>
    </row>
    <row r="7" spans="2:22">
      <c r="D7" s="4" t="s">
        <v>32</v>
      </c>
    </row>
    <row r="8" spans="2:22" ht="20.25" customHeight="1">
      <c r="C8" s="177" t="s">
        <v>4</v>
      </c>
      <c r="D8" s="178"/>
      <c r="E8" s="178"/>
      <c r="F8" s="179"/>
      <c r="G8" s="186" t="s">
        <v>44</v>
      </c>
      <c r="H8" s="187"/>
      <c r="I8" s="187"/>
      <c r="J8" s="187"/>
      <c r="K8" s="187"/>
      <c r="L8" s="187"/>
      <c r="M8" s="187"/>
      <c r="N8" s="187"/>
      <c r="O8" s="187"/>
      <c r="P8" s="187"/>
      <c r="Q8" s="187"/>
      <c r="R8" s="187"/>
      <c r="S8" s="187"/>
      <c r="T8" s="187"/>
      <c r="U8" s="187"/>
    </row>
    <row r="9" spans="2:22" ht="20.25" customHeight="1">
      <c r="C9" s="180"/>
      <c r="D9" s="181"/>
      <c r="E9" s="181"/>
      <c r="F9" s="182"/>
      <c r="G9" s="188" t="s">
        <v>1072</v>
      </c>
      <c r="H9" s="189"/>
      <c r="I9" s="190"/>
      <c r="J9" s="188" t="s">
        <v>22</v>
      </c>
      <c r="K9" s="189"/>
      <c r="L9" s="190"/>
      <c r="M9" s="188" t="s">
        <v>41</v>
      </c>
      <c r="N9" s="189"/>
      <c r="O9" s="190"/>
      <c r="P9" s="188" t="s">
        <v>46</v>
      </c>
      <c r="Q9" s="189"/>
      <c r="R9" s="190"/>
      <c r="S9" s="188" t="s">
        <v>47</v>
      </c>
      <c r="T9" s="189"/>
      <c r="U9" s="190"/>
    </row>
    <row r="10" spans="2:22" ht="26">
      <c r="B10" s="20" t="s">
        <v>2</v>
      </c>
      <c r="C10" s="21" t="s">
        <v>13</v>
      </c>
      <c r="D10" s="21" t="s">
        <v>0</v>
      </c>
      <c r="E10" s="21" t="s">
        <v>1</v>
      </c>
      <c r="F10" s="21" t="s">
        <v>3</v>
      </c>
      <c r="G10" s="22" t="s">
        <v>7</v>
      </c>
      <c r="H10" s="22" t="s">
        <v>5</v>
      </c>
      <c r="I10" s="22" t="s">
        <v>6</v>
      </c>
      <c r="J10" s="22" t="s">
        <v>7</v>
      </c>
      <c r="K10" s="22" t="s">
        <v>5</v>
      </c>
      <c r="L10" s="22" t="s">
        <v>6</v>
      </c>
      <c r="M10" s="22" t="s">
        <v>7</v>
      </c>
      <c r="N10" s="22" t="s">
        <v>5</v>
      </c>
      <c r="O10" s="22" t="s">
        <v>6</v>
      </c>
      <c r="P10" s="22" t="s">
        <v>7</v>
      </c>
      <c r="Q10" s="22" t="s">
        <v>5</v>
      </c>
      <c r="R10" s="22" t="s">
        <v>6</v>
      </c>
      <c r="S10" s="22" t="s">
        <v>7</v>
      </c>
      <c r="T10" s="22" t="s">
        <v>5</v>
      </c>
      <c r="U10" s="22" t="s">
        <v>6</v>
      </c>
    </row>
    <row r="11" spans="2:22">
      <c r="B11" s="172" t="s">
        <v>596</v>
      </c>
      <c r="C11" s="173"/>
      <c r="D11" s="173"/>
      <c r="E11" s="173"/>
      <c r="F11" s="173"/>
      <c r="G11" s="23"/>
      <c r="H11" s="23"/>
      <c r="I11" s="23"/>
      <c r="J11" s="23"/>
      <c r="K11" s="23"/>
      <c r="L11" s="23"/>
      <c r="M11" s="23"/>
      <c r="N11" s="23"/>
      <c r="O11" s="23"/>
      <c r="P11" s="23"/>
      <c r="Q11" s="23"/>
      <c r="R11" s="23"/>
      <c r="S11" s="23"/>
      <c r="T11" s="23"/>
      <c r="U11" s="23"/>
    </row>
    <row r="12" spans="2:22" s="31" customFormat="1" ht="34" customHeight="1">
      <c r="B12" s="24">
        <f>IF($C$12:C12&lt;&gt;"",COUNTA($C$12:C12),"")</f>
        <v>1</v>
      </c>
      <c r="C12" s="25" t="s">
        <v>583</v>
      </c>
      <c r="D12" s="26" t="s">
        <v>585</v>
      </c>
      <c r="E12" s="25" t="s">
        <v>593</v>
      </c>
      <c r="F12" s="27" t="s">
        <v>554</v>
      </c>
      <c r="G12" s="28">
        <v>44943</v>
      </c>
      <c r="H12" s="29" t="s">
        <v>984</v>
      </c>
      <c r="I12" s="30" t="s">
        <v>985</v>
      </c>
      <c r="J12" s="28"/>
      <c r="K12" s="29"/>
      <c r="L12" s="30"/>
      <c r="M12" s="28"/>
      <c r="N12" s="29"/>
      <c r="O12" s="30"/>
      <c r="P12" s="28"/>
      <c r="Q12" s="29"/>
      <c r="R12" s="30"/>
      <c r="S12" s="28"/>
      <c r="T12" s="29"/>
      <c r="U12" s="30"/>
    </row>
    <row r="13" spans="2:22" s="31" customFormat="1">
      <c r="B13" s="24">
        <f>IF($C$12:C13&lt;&gt;"",COUNTA($C$12:C13),"")</f>
        <v>2</v>
      </c>
      <c r="C13" s="25" t="s">
        <v>659</v>
      </c>
      <c r="D13" s="26"/>
      <c r="E13" s="25"/>
      <c r="F13" s="27" t="s">
        <v>554</v>
      </c>
      <c r="G13" s="28">
        <v>44943</v>
      </c>
      <c r="H13" s="29" t="s">
        <v>984</v>
      </c>
      <c r="I13" s="30" t="s">
        <v>985</v>
      </c>
      <c r="J13" s="28"/>
      <c r="K13" s="29"/>
      <c r="L13" s="30"/>
      <c r="M13" s="28"/>
      <c r="N13" s="29"/>
      <c r="O13" s="30"/>
      <c r="P13" s="28"/>
      <c r="Q13" s="29"/>
      <c r="R13" s="30"/>
      <c r="S13" s="28"/>
      <c r="T13" s="29"/>
      <c r="U13" s="30"/>
    </row>
    <row r="14" spans="2:22" s="31" customFormat="1">
      <c r="B14" s="24">
        <f>IF($C$12:C14&lt;&gt;"",COUNTA($C$12:C14),"")</f>
        <v>3</v>
      </c>
      <c r="C14" s="25" t="s">
        <v>584</v>
      </c>
      <c r="D14" s="26"/>
      <c r="E14" s="25"/>
      <c r="F14" s="27" t="s">
        <v>554</v>
      </c>
      <c r="G14" s="28">
        <v>44943</v>
      </c>
      <c r="H14" s="29" t="s">
        <v>984</v>
      </c>
      <c r="I14" s="30" t="s">
        <v>985</v>
      </c>
      <c r="J14" s="28"/>
      <c r="K14" s="29"/>
      <c r="L14" s="30"/>
      <c r="M14" s="28"/>
      <c r="N14" s="29"/>
      <c r="O14" s="30"/>
      <c r="P14" s="28"/>
      <c r="Q14" s="29"/>
      <c r="R14" s="30"/>
      <c r="S14" s="28"/>
      <c r="T14" s="29"/>
      <c r="U14" s="30"/>
    </row>
    <row r="15" spans="2:22" s="31" customFormat="1">
      <c r="B15" s="24">
        <f>IF($C$12:C15&lt;&gt;"",COUNTA($C$12:C15),"")</f>
        <v>4</v>
      </c>
      <c r="C15" s="25" t="s">
        <v>586</v>
      </c>
      <c r="D15" s="26"/>
      <c r="E15" s="26"/>
      <c r="F15" s="27" t="s">
        <v>554</v>
      </c>
      <c r="G15" s="28">
        <v>44943</v>
      </c>
      <c r="H15" s="29" t="s">
        <v>984</v>
      </c>
      <c r="I15" s="30" t="s">
        <v>985</v>
      </c>
      <c r="J15" s="28"/>
      <c r="K15" s="29"/>
      <c r="L15" s="30"/>
      <c r="M15" s="28"/>
      <c r="N15" s="29"/>
      <c r="O15" s="30"/>
      <c r="P15" s="28"/>
      <c r="Q15" s="29"/>
      <c r="R15" s="30"/>
      <c r="S15" s="28"/>
      <c r="T15" s="29"/>
      <c r="U15" s="30"/>
    </row>
    <row r="16" spans="2:22" s="31" customFormat="1">
      <c r="B16" s="24">
        <f>IF($C$12:C16&lt;&gt;"",COUNTA($C$12:C16),"")</f>
        <v>5</v>
      </c>
      <c r="C16" s="25" t="s">
        <v>587</v>
      </c>
      <c r="D16" s="26"/>
      <c r="E16" s="26"/>
      <c r="F16" s="27" t="s">
        <v>554</v>
      </c>
      <c r="G16" s="28">
        <v>44943</v>
      </c>
      <c r="H16" s="29" t="s">
        <v>984</v>
      </c>
      <c r="I16" s="30" t="s">
        <v>985</v>
      </c>
      <c r="J16" s="28"/>
      <c r="K16" s="29"/>
      <c r="L16" s="30"/>
      <c r="M16" s="28"/>
      <c r="N16" s="29"/>
      <c r="O16" s="30"/>
      <c r="P16" s="28"/>
      <c r="Q16" s="29"/>
      <c r="R16" s="30"/>
      <c r="S16" s="28"/>
      <c r="T16" s="29"/>
      <c r="U16" s="30"/>
    </row>
    <row r="17" spans="2:21" s="31" customFormat="1">
      <c r="B17" s="24">
        <f>IF($C$12:C17&lt;&gt;"",COUNTA($C$12:C17),"")</f>
        <v>6</v>
      </c>
      <c r="C17" s="25" t="s">
        <v>588</v>
      </c>
      <c r="D17" s="26"/>
      <c r="E17" s="26"/>
      <c r="F17" s="27" t="s">
        <v>554</v>
      </c>
      <c r="G17" s="28">
        <v>44943</v>
      </c>
      <c r="H17" s="29" t="s">
        <v>984</v>
      </c>
      <c r="I17" s="30" t="s">
        <v>985</v>
      </c>
      <c r="J17" s="28"/>
      <c r="K17" s="29"/>
      <c r="L17" s="30"/>
      <c r="M17" s="28"/>
      <c r="N17" s="29"/>
      <c r="O17" s="30"/>
      <c r="P17" s="28"/>
      <c r="Q17" s="29"/>
      <c r="R17" s="30"/>
      <c r="S17" s="28"/>
      <c r="T17" s="29"/>
      <c r="U17" s="30"/>
    </row>
    <row r="18" spans="2:21" s="31" customFormat="1">
      <c r="B18" s="24">
        <f>IF($C$12:C18&lt;&gt;"",COUNTA($C$12:C18),"")</f>
        <v>7</v>
      </c>
      <c r="C18" s="25" t="s">
        <v>589</v>
      </c>
      <c r="D18" s="26"/>
      <c r="E18" s="26"/>
      <c r="F18" s="27" t="s">
        <v>554</v>
      </c>
      <c r="G18" s="28">
        <v>44943</v>
      </c>
      <c r="H18" s="29" t="s">
        <v>984</v>
      </c>
      <c r="I18" s="30" t="s">
        <v>985</v>
      </c>
      <c r="J18" s="28"/>
      <c r="K18" s="29"/>
      <c r="L18" s="30"/>
      <c r="M18" s="28"/>
      <c r="N18" s="29"/>
      <c r="O18" s="30"/>
      <c r="P18" s="28"/>
      <c r="Q18" s="29"/>
      <c r="R18" s="30"/>
      <c r="S18" s="28"/>
      <c r="T18" s="29"/>
      <c r="U18" s="30"/>
    </row>
    <row r="19" spans="2:21" s="31" customFormat="1">
      <c r="B19" s="24">
        <f>IF($C$12:C19&lt;&gt;"",COUNTA($C$12:C19),"")</f>
        <v>8</v>
      </c>
      <c r="C19" s="25" t="s">
        <v>590</v>
      </c>
      <c r="D19" s="26"/>
      <c r="E19" s="26"/>
      <c r="F19" s="27" t="s">
        <v>554</v>
      </c>
      <c r="G19" s="28">
        <v>44943</v>
      </c>
      <c r="H19" s="29" t="s">
        <v>984</v>
      </c>
      <c r="I19" s="30" t="s">
        <v>985</v>
      </c>
      <c r="J19" s="28"/>
      <c r="K19" s="29"/>
      <c r="L19" s="30"/>
      <c r="M19" s="28"/>
      <c r="N19" s="29"/>
      <c r="O19" s="30"/>
      <c r="P19" s="28"/>
      <c r="Q19" s="29"/>
      <c r="R19" s="30"/>
      <c r="S19" s="28"/>
      <c r="T19" s="29"/>
      <c r="U19" s="30"/>
    </row>
    <row r="20" spans="2:21" s="31" customFormat="1">
      <c r="B20" s="24">
        <f>IF($C$12:C20&lt;&gt;"",COUNTA($C$12:C20),"")</f>
        <v>9</v>
      </c>
      <c r="C20" s="25" t="s">
        <v>592</v>
      </c>
      <c r="D20" s="26"/>
      <c r="E20" s="26"/>
      <c r="F20" s="27" t="s">
        <v>554</v>
      </c>
      <c r="G20" s="28">
        <v>44943</v>
      </c>
      <c r="H20" s="29" t="s">
        <v>984</v>
      </c>
      <c r="I20" s="30" t="s">
        <v>985</v>
      </c>
      <c r="J20" s="28"/>
      <c r="K20" s="29"/>
      <c r="L20" s="30"/>
      <c r="M20" s="28"/>
      <c r="N20" s="29"/>
      <c r="O20" s="30"/>
      <c r="P20" s="28"/>
      <c r="Q20" s="29"/>
      <c r="R20" s="30"/>
      <c r="S20" s="28"/>
      <c r="T20" s="29"/>
      <c r="U20" s="30"/>
    </row>
    <row r="21" spans="2:21" s="31" customFormat="1">
      <c r="B21" s="24">
        <f>IF($C$12:C21&lt;&gt;"",COUNTA($C$12:C21),"")</f>
        <v>10</v>
      </c>
      <c r="C21" s="25" t="s">
        <v>591</v>
      </c>
      <c r="D21" s="26"/>
      <c r="E21" s="26"/>
      <c r="F21" s="27" t="s">
        <v>554</v>
      </c>
      <c r="G21" s="28">
        <v>44943</v>
      </c>
      <c r="H21" s="29" t="s">
        <v>984</v>
      </c>
      <c r="I21" s="30" t="s">
        <v>985</v>
      </c>
      <c r="J21" s="28"/>
      <c r="K21" s="29"/>
      <c r="L21" s="30"/>
      <c r="M21" s="28"/>
      <c r="N21" s="29"/>
      <c r="O21" s="30"/>
      <c r="P21" s="28"/>
      <c r="Q21" s="29"/>
      <c r="R21" s="30"/>
      <c r="S21" s="28"/>
      <c r="T21" s="29"/>
      <c r="U21" s="30"/>
    </row>
    <row r="22" spans="2:21" s="31" customFormat="1">
      <c r="B22" s="24">
        <f>IF($C$12:C22&lt;&gt;"",COUNTA($C$12:C22),"")</f>
        <v>11</v>
      </c>
      <c r="C22" s="25" t="s">
        <v>594</v>
      </c>
      <c r="D22" s="26"/>
      <c r="E22" s="26" t="s">
        <v>595</v>
      </c>
      <c r="F22" s="27" t="s">
        <v>554</v>
      </c>
      <c r="G22" s="28">
        <v>44943</v>
      </c>
      <c r="H22" s="29" t="s">
        <v>984</v>
      </c>
      <c r="I22" s="30" t="s">
        <v>985</v>
      </c>
      <c r="J22" s="28"/>
      <c r="K22" s="29"/>
      <c r="L22" s="30"/>
      <c r="M22" s="28"/>
      <c r="N22" s="29"/>
      <c r="O22" s="30"/>
      <c r="P22" s="28"/>
      <c r="Q22" s="29"/>
      <c r="R22" s="30"/>
      <c r="S22" s="28"/>
      <c r="T22" s="29"/>
      <c r="U22" s="30"/>
    </row>
    <row r="23" spans="2:21" s="31" customFormat="1">
      <c r="B23" s="24" t="str">
        <f>IF($C$12:C23&lt;&gt;"",COUNTA($C$12:C23),"")</f>
        <v/>
      </c>
      <c r="C23" s="25"/>
      <c r="D23" s="26"/>
      <c r="E23" s="26"/>
      <c r="F23" s="27"/>
      <c r="G23" s="28"/>
      <c r="H23" s="29"/>
      <c r="I23" s="30"/>
      <c r="J23" s="28"/>
      <c r="K23" s="29"/>
      <c r="L23" s="30"/>
      <c r="M23" s="28"/>
      <c r="N23" s="29"/>
      <c r="O23" s="30"/>
      <c r="P23" s="28"/>
      <c r="Q23" s="29"/>
      <c r="R23" s="30"/>
      <c r="S23" s="28"/>
      <c r="T23" s="29"/>
      <c r="U23" s="30"/>
    </row>
    <row r="24" spans="2:21">
      <c r="B24" s="172" t="s">
        <v>597</v>
      </c>
      <c r="C24" s="173"/>
      <c r="D24" s="173"/>
      <c r="E24" s="173"/>
      <c r="F24" s="173"/>
      <c r="G24" s="23"/>
      <c r="H24" s="23"/>
      <c r="I24" s="23"/>
      <c r="J24" s="23"/>
      <c r="K24" s="23"/>
      <c r="L24" s="23"/>
      <c r="M24" s="23"/>
      <c r="N24" s="23"/>
      <c r="O24" s="23"/>
      <c r="P24" s="23"/>
      <c r="Q24" s="23"/>
      <c r="R24" s="23"/>
      <c r="S24" s="23"/>
      <c r="T24" s="23"/>
      <c r="U24" s="23"/>
    </row>
    <row r="25" spans="2:21" s="31" customFormat="1" ht="52">
      <c r="B25" s="24">
        <f>IF($C$12:C25&lt;&gt;"",COUNTA($C$12:C25),"")</f>
        <v>12</v>
      </c>
      <c r="C25" s="25" t="s">
        <v>598</v>
      </c>
      <c r="D25" s="26" t="s">
        <v>599</v>
      </c>
      <c r="E25" s="26" t="s">
        <v>600</v>
      </c>
      <c r="F25" s="27" t="s">
        <v>554</v>
      </c>
      <c r="G25" s="28">
        <v>44943</v>
      </c>
      <c r="H25" s="29" t="s">
        <v>984</v>
      </c>
      <c r="I25" s="30" t="s">
        <v>985</v>
      </c>
      <c r="J25" s="28"/>
      <c r="K25" s="29"/>
      <c r="L25" s="30"/>
      <c r="M25" s="28"/>
      <c r="N25" s="29"/>
      <c r="O25" s="30"/>
      <c r="P25" s="28"/>
      <c r="Q25" s="29"/>
      <c r="R25" s="30"/>
      <c r="S25" s="28"/>
      <c r="T25" s="29"/>
      <c r="U25" s="30"/>
    </row>
    <row r="26" spans="2:21" s="31" customFormat="1" ht="43.5" customHeight="1">
      <c r="B26" s="24">
        <f>IF($C$12:C26&lt;&gt;"",COUNTA($C$12:C26),"")</f>
        <v>13</v>
      </c>
      <c r="C26" s="25" t="s">
        <v>601</v>
      </c>
      <c r="D26" s="26" t="s">
        <v>602</v>
      </c>
      <c r="E26" s="26" t="s">
        <v>603</v>
      </c>
      <c r="F26" s="27" t="s">
        <v>554</v>
      </c>
      <c r="G26" s="28">
        <v>44943</v>
      </c>
      <c r="H26" s="29" t="s">
        <v>984</v>
      </c>
      <c r="I26" s="30" t="s">
        <v>985</v>
      </c>
      <c r="J26" s="28"/>
      <c r="K26" s="29"/>
      <c r="L26" s="30"/>
      <c r="M26" s="28"/>
      <c r="N26" s="29"/>
      <c r="O26" s="30"/>
      <c r="P26" s="28"/>
      <c r="Q26" s="29"/>
      <c r="R26" s="30"/>
      <c r="S26" s="28"/>
      <c r="T26" s="29"/>
      <c r="U26" s="30"/>
    </row>
    <row r="27" spans="2:21" s="31" customFormat="1" ht="43.5" customHeight="1">
      <c r="B27" s="24">
        <f>IF($C$12:C27&lt;&gt;"",COUNTA($C$12:C27),"")</f>
        <v>14</v>
      </c>
      <c r="C27" s="25" t="s">
        <v>608</v>
      </c>
      <c r="D27" s="26" t="s">
        <v>604</v>
      </c>
      <c r="E27" s="26" t="s">
        <v>605</v>
      </c>
      <c r="F27" s="27" t="s">
        <v>554</v>
      </c>
      <c r="G27" s="28">
        <v>44943</v>
      </c>
      <c r="H27" s="29" t="s">
        <v>984</v>
      </c>
      <c r="I27" s="30" t="s">
        <v>985</v>
      </c>
      <c r="J27" s="28"/>
      <c r="K27" s="29"/>
      <c r="L27" s="30"/>
      <c r="M27" s="28"/>
      <c r="N27" s="29"/>
      <c r="O27" s="30"/>
      <c r="P27" s="28"/>
      <c r="Q27" s="29"/>
      <c r="R27" s="30"/>
      <c r="S27" s="28"/>
      <c r="T27" s="29"/>
      <c r="U27" s="30"/>
    </row>
    <row r="28" spans="2:21" s="31" customFormat="1" ht="43.5" customHeight="1">
      <c r="B28" s="24">
        <f>IF($C$12:C28&lt;&gt;"",COUNTA($C$12:C28),"")</f>
        <v>15</v>
      </c>
      <c r="C28" s="25" t="s">
        <v>608</v>
      </c>
      <c r="D28" s="26" t="s">
        <v>606</v>
      </c>
      <c r="E28" s="26" t="s">
        <v>605</v>
      </c>
      <c r="F28" s="27" t="s">
        <v>554</v>
      </c>
      <c r="G28" s="28">
        <v>44943</v>
      </c>
      <c r="H28" s="29" t="s">
        <v>984</v>
      </c>
      <c r="I28" s="30" t="s">
        <v>985</v>
      </c>
      <c r="J28" s="28"/>
      <c r="K28" s="29"/>
      <c r="L28" s="30"/>
      <c r="M28" s="28"/>
      <c r="N28" s="29"/>
      <c r="O28" s="30"/>
      <c r="P28" s="28"/>
      <c r="Q28" s="29"/>
      <c r="R28" s="30"/>
      <c r="S28" s="28"/>
      <c r="T28" s="29"/>
      <c r="U28" s="30"/>
    </row>
    <row r="29" spans="2:21" s="31" customFormat="1" ht="43.5" customHeight="1">
      <c r="B29" s="24">
        <f>IF($C$12:C29&lt;&gt;"",COUNTA($C$12:C29),"")</f>
        <v>16</v>
      </c>
      <c r="C29" s="25" t="s">
        <v>608</v>
      </c>
      <c r="D29" s="26" t="s">
        <v>607</v>
      </c>
      <c r="E29" s="26" t="s">
        <v>605</v>
      </c>
      <c r="F29" s="27" t="s">
        <v>554</v>
      </c>
      <c r="G29" s="28">
        <v>44943</v>
      </c>
      <c r="H29" s="29" t="s">
        <v>984</v>
      </c>
      <c r="I29" s="30" t="s">
        <v>985</v>
      </c>
      <c r="J29" s="28"/>
      <c r="K29" s="29"/>
      <c r="L29" s="30"/>
      <c r="M29" s="28"/>
      <c r="N29" s="29"/>
      <c r="O29" s="30"/>
      <c r="P29" s="28"/>
      <c r="Q29" s="29"/>
      <c r="R29" s="30"/>
      <c r="S29" s="28"/>
      <c r="T29" s="29"/>
      <c r="U29" s="30"/>
    </row>
    <row r="30" spans="2:21" s="31" customFormat="1" ht="45" customHeight="1">
      <c r="B30" s="24">
        <f>IF($C$12:C30&lt;&gt;"",COUNTA($C$12:C30),"")</f>
        <v>17</v>
      </c>
      <c r="C30" s="25" t="s">
        <v>614</v>
      </c>
      <c r="D30" s="26" t="s">
        <v>611</v>
      </c>
      <c r="E30" s="26" t="s">
        <v>612</v>
      </c>
      <c r="F30" s="27" t="s">
        <v>554</v>
      </c>
      <c r="G30" s="28">
        <v>44943</v>
      </c>
      <c r="H30" s="29" t="s">
        <v>984</v>
      </c>
      <c r="I30" s="30" t="s">
        <v>985</v>
      </c>
      <c r="J30" s="28"/>
      <c r="K30" s="29"/>
      <c r="L30" s="30"/>
      <c r="M30" s="28"/>
      <c r="N30" s="29"/>
      <c r="O30" s="30"/>
      <c r="P30" s="28"/>
      <c r="Q30" s="29"/>
      <c r="R30" s="30"/>
      <c r="S30" s="28"/>
      <c r="T30" s="29"/>
      <c r="U30" s="30"/>
    </row>
    <row r="31" spans="2:21" s="31" customFormat="1" ht="45" customHeight="1">
      <c r="B31" s="24">
        <f>IF($C$12:C31&lt;&gt;"",COUNTA($C$12:C31),"")</f>
        <v>18</v>
      </c>
      <c r="C31" s="25" t="s">
        <v>614</v>
      </c>
      <c r="D31" s="26" t="s">
        <v>613</v>
      </c>
      <c r="E31" s="26" t="s">
        <v>615</v>
      </c>
      <c r="F31" s="27" t="s">
        <v>554</v>
      </c>
      <c r="G31" s="28">
        <v>44943</v>
      </c>
      <c r="H31" s="29" t="s">
        <v>984</v>
      </c>
      <c r="I31" s="30" t="s">
        <v>985</v>
      </c>
      <c r="J31" s="28"/>
      <c r="K31" s="29"/>
      <c r="L31" s="30"/>
      <c r="M31" s="28"/>
      <c r="N31" s="29"/>
      <c r="O31" s="30"/>
      <c r="P31" s="28"/>
      <c r="Q31" s="29"/>
      <c r="R31" s="30"/>
      <c r="S31" s="28"/>
      <c r="T31" s="29"/>
      <c r="U31" s="30"/>
    </row>
    <row r="32" spans="2:21" s="31" customFormat="1" ht="71.5" customHeight="1">
      <c r="B32" s="24">
        <f>IF($C$12:C32&lt;&gt;"",COUNTA($C$12:C32),"")</f>
        <v>19</v>
      </c>
      <c r="C32" s="25" t="s">
        <v>902</v>
      </c>
      <c r="D32" s="26" t="s">
        <v>904</v>
      </c>
      <c r="E32" s="26" t="s">
        <v>615</v>
      </c>
      <c r="F32" s="27" t="s">
        <v>554</v>
      </c>
      <c r="G32" s="28">
        <v>44943</v>
      </c>
      <c r="H32" s="29" t="s">
        <v>984</v>
      </c>
      <c r="I32" s="30" t="s">
        <v>985</v>
      </c>
      <c r="J32" s="28"/>
      <c r="K32" s="29"/>
      <c r="L32" s="30"/>
      <c r="M32" s="28"/>
      <c r="N32" s="29"/>
      <c r="O32" s="30"/>
      <c r="P32" s="28"/>
      <c r="Q32" s="29"/>
      <c r="R32" s="30"/>
      <c r="S32" s="28"/>
      <c r="T32" s="29"/>
      <c r="U32" s="30"/>
    </row>
    <row r="33" spans="2:21" s="31" customFormat="1" ht="71.5" customHeight="1">
      <c r="B33" s="24">
        <f>IF($C$12:C33&lt;&gt;"",COUNTA($C$12:C33),"")</f>
        <v>20</v>
      </c>
      <c r="C33" s="25" t="s">
        <v>901</v>
      </c>
      <c r="D33" s="26" t="s">
        <v>903</v>
      </c>
      <c r="E33" s="26" t="s">
        <v>615</v>
      </c>
      <c r="F33" s="27" t="s">
        <v>554</v>
      </c>
      <c r="G33" s="28">
        <v>44943</v>
      </c>
      <c r="H33" s="29" t="s">
        <v>984</v>
      </c>
      <c r="I33" s="30" t="s">
        <v>985</v>
      </c>
      <c r="J33" s="28"/>
      <c r="K33" s="29"/>
      <c r="L33" s="30"/>
      <c r="M33" s="28"/>
      <c r="N33" s="29"/>
      <c r="O33" s="30"/>
      <c r="P33" s="28"/>
      <c r="Q33" s="29"/>
      <c r="R33" s="30"/>
      <c r="S33" s="28"/>
      <c r="T33" s="29"/>
      <c r="U33" s="30"/>
    </row>
    <row r="34" spans="2:21" s="31" customFormat="1" ht="102" customHeight="1">
      <c r="B34" s="24">
        <f>IF($C$12:C34&lt;&gt;"",COUNTA($C$12:C34),"")</f>
        <v>21</v>
      </c>
      <c r="C34" s="25" t="s">
        <v>616</v>
      </c>
      <c r="D34" s="26" t="s">
        <v>617</v>
      </c>
      <c r="E34" s="26" t="s">
        <v>626</v>
      </c>
      <c r="F34" s="27" t="s">
        <v>554</v>
      </c>
      <c r="G34" s="28">
        <v>44943</v>
      </c>
      <c r="H34" s="29" t="s">
        <v>984</v>
      </c>
      <c r="I34" s="30" t="s">
        <v>985</v>
      </c>
      <c r="J34" s="28"/>
      <c r="K34" s="29"/>
      <c r="L34" s="30"/>
      <c r="M34" s="28"/>
      <c r="N34" s="29"/>
      <c r="O34" s="30"/>
      <c r="P34" s="28"/>
      <c r="Q34" s="29"/>
      <c r="R34" s="30"/>
      <c r="S34" s="28"/>
      <c r="T34" s="29"/>
      <c r="U34" s="30"/>
    </row>
    <row r="35" spans="2:21" s="31" customFormat="1" ht="104" customHeight="1">
      <c r="B35" s="24">
        <f>IF($C$12:C35&lt;&gt;"",COUNTA($C$12:C35),"")</f>
        <v>22</v>
      </c>
      <c r="C35" s="25" t="s">
        <v>616</v>
      </c>
      <c r="D35" s="26" t="s">
        <v>621</v>
      </c>
      <c r="E35" s="26" t="s">
        <v>627</v>
      </c>
      <c r="F35" s="27" t="s">
        <v>554</v>
      </c>
      <c r="G35" s="28">
        <v>44943</v>
      </c>
      <c r="H35" s="29" t="s">
        <v>984</v>
      </c>
      <c r="I35" s="30" t="s">
        <v>985</v>
      </c>
      <c r="J35" s="28"/>
      <c r="K35" s="29"/>
      <c r="L35" s="30"/>
      <c r="M35" s="28"/>
      <c r="N35" s="29"/>
      <c r="O35" s="30"/>
      <c r="P35" s="28"/>
      <c r="Q35" s="29"/>
      <c r="R35" s="30"/>
      <c r="S35" s="28"/>
      <c r="T35" s="29"/>
      <c r="U35" s="30"/>
    </row>
    <row r="36" spans="2:21" s="31" customFormat="1" ht="45.5" customHeight="1">
      <c r="B36" s="24">
        <f>IF($C$12:C36&lt;&gt;"",COUNTA($C$12:C36),"")</f>
        <v>23</v>
      </c>
      <c r="C36" s="25" t="s">
        <v>616</v>
      </c>
      <c r="D36" s="26" t="s">
        <v>620</v>
      </c>
      <c r="E36" s="26" t="s">
        <v>618</v>
      </c>
      <c r="F36" s="27" t="s">
        <v>554</v>
      </c>
      <c r="G36" s="28">
        <v>44943</v>
      </c>
      <c r="H36" s="29" t="s">
        <v>984</v>
      </c>
      <c r="I36" s="30" t="s">
        <v>985</v>
      </c>
      <c r="J36" s="28"/>
      <c r="K36" s="29"/>
      <c r="L36" s="30"/>
      <c r="M36" s="28"/>
      <c r="N36" s="29"/>
      <c r="O36" s="30"/>
      <c r="P36" s="28"/>
      <c r="Q36" s="29"/>
      <c r="R36" s="30"/>
      <c r="S36" s="28"/>
      <c r="T36" s="29"/>
      <c r="U36" s="30"/>
    </row>
    <row r="37" spans="2:21" s="31" customFormat="1" ht="39">
      <c r="B37" s="24">
        <f>IF($C$12:C37&lt;&gt;"",COUNTA($C$12:C37),"")</f>
        <v>24</v>
      </c>
      <c r="C37" s="25" t="s">
        <v>619</v>
      </c>
      <c r="D37" s="26" t="s">
        <v>622</v>
      </c>
      <c r="E37" s="26" t="s">
        <v>623</v>
      </c>
      <c r="F37" s="27" t="s">
        <v>554</v>
      </c>
      <c r="G37" s="28">
        <v>44943</v>
      </c>
      <c r="H37" s="29" t="s">
        <v>984</v>
      </c>
      <c r="I37" s="30" t="s">
        <v>985</v>
      </c>
      <c r="J37" s="28"/>
      <c r="K37" s="29"/>
      <c r="L37" s="30"/>
      <c r="M37" s="28"/>
      <c r="N37" s="29"/>
      <c r="O37" s="30"/>
      <c r="P37" s="28"/>
      <c r="Q37" s="29"/>
      <c r="R37" s="30"/>
      <c r="S37" s="28"/>
      <c r="T37" s="29"/>
      <c r="U37" s="30"/>
    </row>
    <row r="38" spans="2:21" s="31" customFormat="1" ht="110" customHeight="1">
      <c r="B38" s="24">
        <f>IF($C$12:C38&lt;&gt;"",COUNTA($C$12:C38),"")</f>
        <v>25</v>
      </c>
      <c r="C38" s="25" t="s">
        <v>624</v>
      </c>
      <c r="D38" s="26" t="s">
        <v>625</v>
      </c>
      <c r="E38" s="26" t="s">
        <v>628</v>
      </c>
      <c r="F38" s="27" t="s">
        <v>554</v>
      </c>
      <c r="G38" s="28">
        <v>44946</v>
      </c>
      <c r="H38" s="29" t="s">
        <v>940</v>
      </c>
      <c r="I38" s="30" t="s">
        <v>268</v>
      </c>
      <c r="J38" s="28"/>
      <c r="K38" s="29"/>
      <c r="L38" s="30"/>
      <c r="M38" s="28"/>
      <c r="N38" s="29"/>
      <c r="O38" s="30"/>
      <c r="P38" s="28"/>
      <c r="Q38" s="29"/>
      <c r="R38" s="30"/>
      <c r="S38" s="28"/>
      <c r="T38" s="29"/>
      <c r="U38" s="30"/>
    </row>
    <row r="39" spans="2:21" s="31" customFormat="1" ht="39">
      <c r="B39" s="24">
        <f>IF($C$12:C39&lt;&gt;"",COUNTA($C$12:C39),"")</f>
        <v>26</v>
      </c>
      <c r="C39" s="25" t="s">
        <v>630</v>
      </c>
      <c r="D39" s="26" t="s">
        <v>629</v>
      </c>
      <c r="E39" s="26" t="s">
        <v>631</v>
      </c>
      <c r="F39" s="27" t="s">
        <v>554</v>
      </c>
      <c r="G39" s="28">
        <v>44946</v>
      </c>
      <c r="H39" s="29" t="s">
        <v>940</v>
      </c>
      <c r="I39" s="30" t="s">
        <v>268</v>
      </c>
      <c r="J39" s="28"/>
      <c r="K39" s="29"/>
      <c r="L39" s="30"/>
      <c r="M39" s="28"/>
      <c r="N39" s="29"/>
      <c r="O39" s="30"/>
      <c r="P39" s="28"/>
      <c r="Q39" s="29"/>
      <c r="R39" s="30"/>
      <c r="S39" s="28"/>
      <c r="T39" s="29"/>
      <c r="U39" s="30"/>
    </row>
    <row r="40" spans="2:21" s="31" customFormat="1" ht="86" customHeight="1">
      <c r="B40" s="24">
        <f>IF($C$12:C40&lt;&gt;"",COUNTA($C$12:C40),"")</f>
        <v>27</v>
      </c>
      <c r="C40" s="25" t="s">
        <v>644</v>
      </c>
      <c r="D40" s="26" t="s">
        <v>632</v>
      </c>
      <c r="E40" s="26" t="s">
        <v>633</v>
      </c>
      <c r="F40" s="27" t="s">
        <v>554</v>
      </c>
      <c r="G40" s="28">
        <v>44946</v>
      </c>
      <c r="H40" s="29" t="s">
        <v>940</v>
      </c>
      <c r="I40" s="30" t="s">
        <v>268</v>
      </c>
      <c r="J40" s="28"/>
      <c r="K40" s="29"/>
      <c r="L40" s="30"/>
      <c r="M40" s="28"/>
      <c r="N40" s="29"/>
      <c r="O40" s="30"/>
      <c r="P40" s="28"/>
      <c r="Q40" s="29"/>
      <c r="R40" s="30"/>
      <c r="S40" s="28"/>
      <c r="T40" s="29"/>
      <c r="U40" s="30"/>
    </row>
    <row r="41" spans="2:21" s="31" customFormat="1" ht="30" customHeight="1">
      <c r="B41" s="24">
        <f>IF($C$12:C41&lt;&gt;"",COUNTA($C$12:C41),"")</f>
        <v>28</v>
      </c>
      <c r="C41" s="25" t="s">
        <v>637</v>
      </c>
      <c r="D41" s="26" t="s">
        <v>638</v>
      </c>
      <c r="E41" s="26" t="s">
        <v>639</v>
      </c>
      <c r="F41" s="27" t="s">
        <v>554</v>
      </c>
      <c r="G41" s="28">
        <v>44946</v>
      </c>
      <c r="H41" s="29" t="s">
        <v>940</v>
      </c>
      <c r="I41" s="30" t="s">
        <v>268</v>
      </c>
      <c r="J41" s="28"/>
      <c r="K41" s="29"/>
      <c r="L41" s="30"/>
      <c r="M41" s="28"/>
      <c r="N41" s="29"/>
      <c r="O41" s="30"/>
      <c r="P41" s="28"/>
      <c r="Q41" s="29"/>
      <c r="R41" s="30"/>
      <c r="S41" s="28"/>
      <c r="T41" s="29"/>
      <c r="U41" s="30"/>
    </row>
    <row r="42" spans="2:21" s="31" customFormat="1" ht="45" customHeight="1">
      <c r="B42" s="24">
        <f>IF($C$12:C42&lt;&gt;"",COUNTA($C$12:C42),"")</f>
        <v>29</v>
      </c>
      <c r="C42" s="25" t="s">
        <v>634</v>
      </c>
      <c r="D42" s="26" t="s">
        <v>635</v>
      </c>
      <c r="E42" s="26" t="s">
        <v>636</v>
      </c>
      <c r="F42" s="27" t="s">
        <v>554</v>
      </c>
      <c r="G42" s="28">
        <v>44943</v>
      </c>
      <c r="H42" s="29" t="s">
        <v>984</v>
      </c>
      <c r="I42" s="30" t="s">
        <v>985</v>
      </c>
      <c r="J42" s="28"/>
      <c r="K42" s="29"/>
      <c r="L42" s="30"/>
      <c r="M42" s="28"/>
      <c r="N42" s="29"/>
      <c r="O42" s="30"/>
      <c r="P42" s="28"/>
      <c r="Q42" s="29"/>
      <c r="R42" s="30"/>
      <c r="S42" s="28"/>
      <c r="T42" s="29"/>
      <c r="U42" s="30"/>
    </row>
    <row r="43" spans="2:21" s="31" customFormat="1">
      <c r="B43" s="24" t="str">
        <f>IF($C$12:C43&lt;&gt;"",COUNTA($C$12:C43),"")</f>
        <v/>
      </c>
      <c r="C43" s="25"/>
      <c r="D43" s="26"/>
      <c r="E43" s="26"/>
      <c r="F43" s="27"/>
      <c r="G43" s="28"/>
      <c r="H43" s="29"/>
      <c r="I43" s="30"/>
      <c r="J43" s="28"/>
      <c r="K43" s="29"/>
      <c r="L43" s="30"/>
      <c r="M43" s="28"/>
      <c r="N43" s="29"/>
      <c r="O43" s="30"/>
      <c r="P43" s="28"/>
      <c r="Q43" s="29"/>
      <c r="R43" s="30"/>
      <c r="S43" s="28"/>
      <c r="T43" s="29"/>
      <c r="U43" s="30"/>
    </row>
    <row r="44" spans="2:21">
      <c r="B44" s="172" t="s">
        <v>640</v>
      </c>
      <c r="C44" s="173"/>
      <c r="D44" s="173"/>
      <c r="E44" s="173"/>
      <c r="F44" s="173"/>
      <c r="G44" s="23"/>
      <c r="H44" s="23"/>
      <c r="I44" s="23"/>
      <c r="J44" s="23"/>
      <c r="K44" s="23"/>
      <c r="L44" s="23"/>
      <c r="M44" s="23"/>
      <c r="N44" s="23"/>
      <c r="O44" s="23"/>
      <c r="P44" s="23"/>
      <c r="Q44" s="23"/>
      <c r="R44" s="23"/>
      <c r="S44" s="23"/>
      <c r="T44" s="23"/>
      <c r="U44" s="23"/>
    </row>
    <row r="45" spans="2:21" s="31" customFormat="1" ht="117">
      <c r="B45" s="24">
        <f>IF($C$12:C45&lt;&gt;"",COUNTA($C$12:C45),"")</f>
        <v>30</v>
      </c>
      <c r="C45" s="25" t="s">
        <v>641</v>
      </c>
      <c r="D45" s="26" t="s">
        <v>1062</v>
      </c>
      <c r="E45" s="26" t="s">
        <v>1063</v>
      </c>
      <c r="F45" s="27" t="s">
        <v>554</v>
      </c>
      <c r="G45" s="28">
        <v>44949</v>
      </c>
      <c r="H45" s="29" t="s">
        <v>940</v>
      </c>
      <c r="I45" s="30" t="s">
        <v>268</v>
      </c>
      <c r="J45" s="28"/>
      <c r="K45" s="29"/>
      <c r="L45" s="30"/>
      <c r="M45" s="28"/>
      <c r="N45" s="29"/>
      <c r="O45" s="30"/>
      <c r="P45" s="28"/>
      <c r="Q45" s="29"/>
      <c r="R45" s="30"/>
      <c r="S45" s="28"/>
      <c r="T45" s="29"/>
      <c r="U45" s="30"/>
    </row>
    <row r="46" spans="2:21" s="31" customFormat="1" ht="117">
      <c r="B46" s="78">
        <f>IF($C$12:C46&lt;&gt;"",COUNTA($C$12:C46),"")</f>
        <v>31</v>
      </c>
      <c r="C46" s="79" t="s">
        <v>641</v>
      </c>
      <c r="D46" s="80" t="s">
        <v>642</v>
      </c>
      <c r="E46" s="80" t="s">
        <v>1064</v>
      </c>
      <c r="F46" s="81"/>
      <c r="G46" s="82"/>
      <c r="H46" s="83"/>
      <c r="I46" s="84"/>
      <c r="J46" s="28"/>
      <c r="K46" s="29"/>
      <c r="L46" s="30"/>
      <c r="M46" s="28"/>
      <c r="N46" s="29"/>
      <c r="O46" s="30"/>
      <c r="P46" s="28"/>
      <c r="Q46" s="29"/>
      <c r="R46" s="30"/>
      <c r="S46" s="28"/>
      <c r="T46" s="29"/>
      <c r="U46" s="30"/>
    </row>
    <row r="47" spans="2:21" s="31" customFormat="1" ht="106.5" customHeight="1">
      <c r="B47" s="78">
        <f>IF($C$12:C47&lt;&gt;"",COUNTA($C$12:C47),"")</f>
        <v>32</v>
      </c>
      <c r="C47" s="79" t="s">
        <v>643</v>
      </c>
      <c r="D47" s="80" t="s">
        <v>647</v>
      </c>
      <c r="E47" s="80" t="s">
        <v>1054</v>
      </c>
      <c r="F47" s="81"/>
      <c r="G47" s="82"/>
      <c r="H47" s="83"/>
      <c r="I47" s="84"/>
      <c r="J47" s="28"/>
      <c r="K47" s="29"/>
      <c r="L47" s="30"/>
      <c r="M47" s="28"/>
      <c r="N47" s="29"/>
      <c r="O47" s="30"/>
      <c r="P47" s="28"/>
      <c r="Q47" s="29"/>
      <c r="R47" s="30"/>
      <c r="S47" s="28"/>
      <c r="T47" s="29"/>
      <c r="U47" s="30"/>
    </row>
    <row r="48" spans="2:21" s="31" customFormat="1" ht="91">
      <c r="B48" s="78">
        <f>IF($C$12:C48&lt;&gt;"",COUNTA($C$12:C48),"")</f>
        <v>33</v>
      </c>
      <c r="C48" s="79" t="s">
        <v>643</v>
      </c>
      <c r="D48" s="80" t="s">
        <v>646</v>
      </c>
      <c r="E48" s="80" t="s">
        <v>1055</v>
      </c>
      <c r="F48" s="81"/>
      <c r="G48" s="82"/>
      <c r="H48" s="83"/>
      <c r="I48" s="84"/>
      <c r="J48" s="28"/>
      <c r="K48" s="29"/>
      <c r="L48" s="30"/>
      <c r="M48" s="28"/>
      <c r="N48" s="29"/>
      <c r="O48" s="30"/>
      <c r="P48" s="28"/>
      <c r="Q48" s="29"/>
      <c r="R48" s="30"/>
      <c r="S48" s="28"/>
      <c r="T48" s="29"/>
      <c r="U48" s="30"/>
    </row>
    <row r="49" spans="2:21" s="31" customFormat="1" ht="65">
      <c r="B49" s="24">
        <f>IF($C$12:C49&lt;&gt;"",COUNTA($C$12:C49),"")</f>
        <v>34</v>
      </c>
      <c r="C49" s="25" t="s">
        <v>643</v>
      </c>
      <c r="D49" s="26" t="s">
        <v>648</v>
      </c>
      <c r="E49" s="26" t="s">
        <v>649</v>
      </c>
      <c r="F49" s="27" t="s">
        <v>554</v>
      </c>
      <c r="G49" s="28">
        <v>44949</v>
      </c>
      <c r="H49" s="29" t="s">
        <v>1052</v>
      </c>
      <c r="I49" s="30" t="s">
        <v>1013</v>
      </c>
      <c r="J49" s="28"/>
      <c r="K49" s="29"/>
      <c r="L49" s="30"/>
      <c r="M49" s="28"/>
      <c r="N49" s="29"/>
      <c r="O49" s="30"/>
      <c r="P49" s="28"/>
      <c r="Q49" s="29"/>
      <c r="R49" s="30"/>
      <c r="S49" s="28"/>
      <c r="T49" s="29"/>
      <c r="U49" s="30"/>
    </row>
    <row r="50" spans="2:21" s="31" customFormat="1" ht="91">
      <c r="B50" s="24">
        <f>IF($C$12:C50&lt;&gt;"",COUNTA($C$12:C50),"")</f>
        <v>35</v>
      </c>
      <c r="C50" s="25" t="s">
        <v>650</v>
      </c>
      <c r="D50" s="26" t="s">
        <v>651</v>
      </c>
      <c r="E50" s="26" t="s">
        <v>645</v>
      </c>
      <c r="F50" s="27" t="s">
        <v>554</v>
      </c>
      <c r="G50" s="28">
        <v>44949</v>
      </c>
      <c r="H50" s="29" t="s">
        <v>1052</v>
      </c>
      <c r="I50" s="30" t="s">
        <v>1013</v>
      </c>
      <c r="J50" s="28"/>
      <c r="K50" s="29"/>
      <c r="L50" s="30"/>
      <c r="M50" s="28"/>
      <c r="N50" s="29"/>
      <c r="O50" s="30"/>
      <c r="P50" s="28"/>
      <c r="Q50" s="29"/>
      <c r="R50" s="30"/>
      <c r="S50" s="28"/>
      <c r="T50" s="29"/>
      <c r="U50" s="30"/>
    </row>
    <row r="51" spans="2:21" s="31" customFormat="1" ht="104">
      <c r="B51" s="24">
        <f>IF($C$12:C51&lt;&gt;"",COUNTA($C$12:C51),"")</f>
        <v>36</v>
      </c>
      <c r="C51" s="25" t="s">
        <v>650</v>
      </c>
      <c r="D51" s="26" t="s">
        <v>652</v>
      </c>
      <c r="E51" s="26" t="s">
        <v>653</v>
      </c>
      <c r="F51" s="27" t="s">
        <v>554</v>
      </c>
      <c r="G51" s="28">
        <v>44949</v>
      </c>
      <c r="H51" s="29" t="s">
        <v>1052</v>
      </c>
      <c r="I51" s="30" t="s">
        <v>1013</v>
      </c>
      <c r="J51" s="28"/>
      <c r="K51" s="29"/>
      <c r="L51" s="30"/>
      <c r="M51" s="28"/>
      <c r="N51" s="29"/>
      <c r="O51" s="30"/>
      <c r="P51" s="28"/>
      <c r="Q51" s="29"/>
      <c r="R51" s="30"/>
      <c r="S51" s="28"/>
      <c r="T51" s="29"/>
      <c r="U51" s="30"/>
    </row>
    <row r="52" spans="2:21" s="31" customFormat="1" ht="78">
      <c r="B52" s="24">
        <f>IF($C$12:C52&lt;&gt;"",COUNTA($C$12:C52),"")</f>
        <v>37</v>
      </c>
      <c r="C52" s="25" t="s">
        <v>650</v>
      </c>
      <c r="D52" s="26" t="s">
        <v>654</v>
      </c>
      <c r="E52" s="26" t="s">
        <v>657</v>
      </c>
      <c r="F52" s="27" t="s">
        <v>554</v>
      </c>
      <c r="G52" s="28">
        <v>44949</v>
      </c>
      <c r="H52" s="29" t="s">
        <v>1052</v>
      </c>
      <c r="I52" s="30" t="s">
        <v>1013</v>
      </c>
      <c r="J52" s="28"/>
      <c r="K52" s="29"/>
      <c r="L52" s="30"/>
      <c r="M52" s="28"/>
      <c r="N52" s="29"/>
      <c r="O52" s="30"/>
      <c r="P52" s="28"/>
      <c r="Q52" s="29"/>
      <c r="R52" s="30"/>
      <c r="S52" s="28"/>
      <c r="T52" s="29"/>
      <c r="U52" s="30"/>
    </row>
    <row r="53" spans="2:21" s="31" customFormat="1" ht="78">
      <c r="B53" s="24">
        <f>IF($C$12:C53&lt;&gt;"",COUNTA($C$12:C53),"")</f>
        <v>38</v>
      </c>
      <c r="C53" s="25" t="s">
        <v>650</v>
      </c>
      <c r="D53" s="26" t="s">
        <v>655</v>
      </c>
      <c r="E53" s="26" t="s">
        <v>656</v>
      </c>
      <c r="F53" s="27" t="s">
        <v>554</v>
      </c>
      <c r="G53" s="28">
        <v>44949</v>
      </c>
      <c r="H53" s="29" t="s">
        <v>1052</v>
      </c>
      <c r="I53" s="30" t="s">
        <v>1013</v>
      </c>
      <c r="J53" s="28"/>
      <c r="K53" s="29"/>
      <c r="L53" s="30"/>
      <c r="M53" s="28"/>
      <c r="N53" s="29"/>
      <c r="O53" s="30"/>
      <c r="P53" s="28"/>
      <c r="Q53" s="29"/>
      <c r="R53" s="30"/>
      <c r="S53" s="28"/>
      <c r="T53" s="29"/>
      <c r="U53" s="30"/>
    </row>
    <row r="54" spans="2:21" s="31" customFormat="1" ht="65">
      <c r="B54" s="24">
        <f>IF($C$12:C54&lt;&gt;"",COUNTA($C$12:C54),"")</f>
        <v>39</v>
      </c>
      <c r="C54" s="25" t="s">
        <v>1057</v>
      </c>
      <c r="D54" s="26" t="s">
        <v>1060</v>
      </c>
      <c r="E54" s="26" t="s">
        <v>1058</v>
      </c>
      <c r="F54" s="27" t="s">
        <v>554</v>
      </c>
      <c r="G54" s="28">
        <v>44949</v>
      </c>
      <c r="H54" s="29" t="s">
        <v>1052</v>
      </c>
      <c r="I54" s="30" t="s">
        <v>1013</v>
      </c>
      <c r="J54" s="28"/>
      <c r="K54" s="29"/>
      <c r="L54" s="30"/>
      <c r="M54" s="28"/>
      <c r="N54" s="29"/>
      <c r="O54" s="30"/>
      <c r="P54" s="28"/>
      <c r="Q54" s="29"/>
      <c r="R54" s="30"/>
      <c r="S54" s="28"/>
      <c r="T54" s="29"/>
      <c r="U54" s="30"/>
    </row>
    <row r="55" spans="2:21" s="31" customFormat="1" ht="65">
      <c r="B55" s="24">
        <f>IF($C$12:C55&lt;&gt;"",COUNTA($C$12:C55),"")</f>
        <v>40</v>
      </c>
      <c r="C55" s="25" t="s">
        <v>1056</v>
      </c>
      <c r="D55" s="26" t="s">
        <v>1061</v>
      </c>
      <c r="E55" s="26" t="s">
        <v>1059</v>
      </c>
      <c r="F55" s="27" t="s">
        <v>554</v>
      </c>
      <c r="G55" s="28">
        <v>44949</v>
      </c>
      <c r="H55" s="29" t="s">
        <v>1052</v>
      </c>
      <c r="I55" s="30" t="s">
        <v>1013</v>
      </c>
      <c r="J55" s="28"/>
      <c r="K55" s="29"/>
      <c r="L55" s="30"/>
      <c r="M55" s="28"/>
      <c r="N55" s="29"/>
      <c r="O55" s="30"/>
      <c r="P55" s="28"/>
      <c r="Q55" s="29"/>
      <c r="R55" s="30"/>
      <c r="S55" s="28"/>
      <c r="T55" s="29"/>
      <c r="U55" s="30"/>
    </row>
    <row r="56" spans="2:21" s="31" customFormat="1">
      <c r="B56" s="24" t="str">
        <f>IF($C$12:C56&lt;&gt;"",COUNTA($C$12:C56),"")</f>
        <v/>
      </c>
      <c r="C56" s="25"/>
      <c r="D56" s="26"/>
      <c r="E56" s="26"/>
      <c r="F56" s="27"/>
      <c r="G56" s="28"/>
      <c r="H56" s="29"/>
      <c r="I56" s="30"/>
      <c r="J56" s="28"/>
      <c r="K56" s="29"/>
      <c r="L56" s="30"/>
      <c r="M56" s="28"/>
      <c r="N56" s="29"/>
      <c r="O56" s="30"/>
      <c r="P56" s="28"/>
      <c r="Q56" s="29"/>
      <c r="R56" s="30"/>
      <c r="S56" s="28"/>
      <c r="T56" s="29"/>
      <c r="U56" s="30"/>
    </row>
    <row r="57" spans="2:21" ht="27.5" customHeight="1">
      <c r="B57" s="172" t="s">
        <v>769</v>
      </c>
      <c r="C57" s="173"/>
      <c r="D57" s="173"/>
      <c r="E57" s="173"/>
      <c r="F57" s="173"/>
      <c r="G57" s="92" t="s">
        <v>1071</v>
      </c>
      <c r="H57" s="23"/>
      <c r="I57" s="23"/>
      <c r="J57" s="92"/>
      <c r="K57" s="23"/>
      <c r="L57" s="23"/>
      <c r="M57" s="23"/>
      <c r="N57" s="23"/>
      <c r="O57" s="23"/>
      <c r="P57" s="23"/>
      <c r="Q57" s="23"/>
      <c r="R57" s="23"/>
      <c r="S57" s="23"/>
      <c r="T57" s="23"/>
      <c r="U57" s="23"/>
    </row>
    <row r="58" spans="2:21" s="31" customFormat="1" ht="56" customHeight="1">
      <c r="B58" s="24">
        <f>IF($C$12:C58&lt;&gt;"",COUNTA($C$12:C58),"")</f>
        <v>41</v>
      </c>
      <c r="C58" s="25" t="s">
        <v>577</v>
      </c>
      <c r="D58" s="26" t="s">
        <v>770</v>
      </c>
      <c r="E58" s="25" t="s">
        <v>575</v>
      </c>
      <c r="F58" s="27" t="s">
        <v>554</v>
      </c>
      <c r="G58" s="28">
        <v>44942</v>
      </c>
      <c r="H58" s="29" t="s">
        <v>984</v>
      </c>
      <c r="I58" s="30" t="s">
        <v>941</v>
      </c>
      <c r="J58" s="28"/>
      <c r="K58" s="29"/>
      <c r="L58" s="30"/>
      <c r="M58" s="28"/>
      <c r="N58" s="29"/>
      <c r="O58" s="30"/>
      <c r="P58" s="28"/>
      <c r="Q58" s="29"/>
      <c r="R58" s="30"/>
      <c r="S58" s="28"/>
      <c r="T58" s="29"/>
      <c r="U58" s="30"/>
    </row>
    <row r="59" spans="2:21" s="31" customFormat="1" ht="39">
      <c r="B59" s="24">
        <f>IF($C$12:C59&lt;&gt;"",COUNTA($C$12:C59),"")</f>
        <v>42</v>
      </c>
      <c r="C59" s="25" t="s">
        <v>578</v>
      </c>
      <c r="D59" s="26"/>
      <c r="E59" s="26"/>
      <c r="F59" s="27" t="s">
        <v>554</v>
      </c>
      <c r="G59" s="28">
        <v>44944</v>
      </c>
      <c r="H59" s="29" t="s">
        <v>988</v>
      </c>
      <c r="I59" s="30" t="s">
        <v>989</v>
      </c>
      <c r="J59" s="28"/>
      <c r="K59" s="29"/>
      <c r="L59" s="30"/>
      <c r="M59" s="28"/>
      <c r="N59" s="29"/>
      <c r="O59" s="30"/>
      <c r="P59" s="28"/>
      <c r="Q59" s="29"/>
      <c r="R59" s="30"/>
      <c r="S59" s="28"/>
      <c r="T59" s="29"/>
      <c r="U59" s="30"/>
    </row>
    <row r="60" spans="2:21" s="31" customFormat="1" ht="39">
      <c r="B60" s="24">
        <f>IF($C$12:C60&lt;&gt;"",COUNTA($C$12:C60),"")</f>
        <v>43</v>
      </c>
      <c r="C60" s="25" t="s">
        <v>579</v>
      </c>
      <c r="D60" s="26"/>
      <c r="E60" s="26"/>
      <c r="F60" s="27" t="s">
        <v>554</v>
      </c>
      <c r="G60" s="28">
        <v>44946</v>
      </c>
      <c r="H60" s="29" t="s">
        <v>1047</v>
      </c>
      <c r="I60" s="30" t="s">
        <v>268</v>
      </c>
      <c r="J60" s="28"/>
      <c r="K60" s="29"/>
      <c r="L60" s="30"/>
      <c r="M60" s="28"/>
      <c r="N60" s="29"/>
      <c r="O60" s="30"/>
      <c r="P60" s="28"/>
      <c r="Q60" s="29"/>
      <c r="R60" s="30"/>
      <c r="S60" s="28"/>
      <c r="T60" s="29"/>
      <c r="U60" s="30"/>
    </row>
    <row r="61" spans="2:21" s="31" customFormat="1" ht="39">
      <c r="B61" s="24">
        <f>IF($C$12:C61&lt;&gt;"",COUNTA($C$12:C61),"")</f>
        <v>44</v>
      </c>
      <c r="C61" s="25" t="s">
        <v>580</v>
      </c>
      <c r="D61" s="26"/>
      <c r="E61" s="26"/>
      <c r="F61" s="27" t="s">
        <v>554</v>
      </c>
      <c r="G61" s="28">
        <v>44946</v>
      </c>
      <c r="H61" s="29" t="s">
        <v>1047</v>
      </c>
      <c r="I61" s="73" t="s">
        <v>991</v>
      </c>
      <c r="J61" s="28"/>
      <c r="K61" s="29"/>
      <c r="L61" s="30"/>
      <c r="M61" s="28"/>
      <c r="N61" s="29"/>
      <c r="O61" s="30"/>
      <c r="P61" s="28"/>
      <c r="Q61" s="29"/>
      <c r="R61" s="30"/>
      <c r="S61" s="28"/>
      <c r="T61" s="29"/>
      <c r="U61" s="30"/>
    </row>
    <row r="62" spans="2:21" s="31" customFormat="1">
      <c r="B62" s="24" t="str">
        <f>IF($C$12:C62&lt;&gt;"",COUNTA($C$12:C62),"")</f>
        <v/>
      </c>
      <c r="C62" s="25"/>
      <c r="D62" s="26"/>
      <c r="E62" s="26"/>
      <c r="F62" s="27"/>
      <c r="G62" s="28"/>
      <c r="H62" s="29"/>
      <c r="I62" s="30"/>
      <c r="J62" s="28"/>
      <c r="K62" s="29"/>
      <c r="L62" s="30"/>
      <c r="M62" s="28"/>
      <c r="N62" s="29"/>
      <c r="O62" s="30"/>
      <c r="P62" s="28"/>
      <c r="Q62" s="29"/>
      <c r="R62" s="30"/>
      <c r="S62" s="28"/>
      <c r="T62" s="29"/>
      <c r="U62" s="30"/>
    </row>
    <row r="63" spans="2:21" ht="27.5" customHeight="1">
      <c r="B63" s="172" t="s">
        <v>992</v>
      </c>
      <c r="C63" s="173"/>
      <c r="D63" s="173"/>
      <c r="E63" s="173"/>
      <c r="F63" s="173"/>
      <c r="G63" s="23"/>
      <c r="H63" s="23"/>
      <c r="I63" s="23"/>
      <c r="J63" s="23"/>
      <c r="K63" s="23"/>
      <c r="L63" s="23"/>
      <c r="M63" s="23"/>
      <c r="N63" s="23"/>
      <c r="O63" s="23"/>
      <c r="P63" s="23"/>
      <c r="Q63" s="23"/>
      <c r="R63" s="23"/>
      <c r="S63" s="23"/>
      <c r="T63" s="23"/>
      <c r="U63" s="23"/>
    </row>
    <row r="64" spans="2:21" s="31" customFormat="1" ht="65">
      <c r="B64" s="24">
        <f>IF($C$12:C64&lt;&gt;"",COUNTA($C$12:C64),"")</f>
        <v>45</v>
      </c>
      <c r="C64" s="25" t="s">
        <v>816</v>
      </c>
      <c r="D64" s="26" t="s">
        <v>771</v>
      </c>
      <c r="E64" s="26" t="s">
        <v>576</v>
      </c>
      <c r="F64" s="27" t="s">
        <v>554</v>
      </c>
      <c r="G64" s="28">
        <v>44943</v>
      </c>
      <c r="H64" s="29" t="s">
        <v>984</v>
      </c>
      <c r="I64" s="30" t="s">
        <v>985</v>
      </c>
      <c r="J64" s="28"/>
      <c r="K64" s="29"/>
      <c r="L64" s="30"/>
      <c r="M64" s="28"/>
      <c r="N64" s="29"/>
      <c r="O64" s="30"/>
      <c r="P64" s="28"/>
      <c r="Q64" s="29"/>
      <c r="R64" s="30"/>
      <c r="S64" s="28"/>
      <c r="T64" s="29"/>
      <c r="U64" s="30"/>
    </row>
    <row r="65" spans="2:21" s="31" customFormat="1" ht="39">
      <c r="B65" s="24">
        <f>IF($C$12:C65&lt;&gt;"",COUNTA($C$12:C65),"")</f>
        <v>46</v>
      </c>
      <c r="C65" s="25" t="s">
        <v>817</v>
      </c>
      <c r="D65" s="26"/>
      <c r="E65" s="26"/>
      <c r="F65" s="27" t="s">
        <v>554</v>
      </c>
      <c r="G65" s="28">
        <v>44944</v>
      </c>
      <c r="H65" s="29" t="s">
        <v>988</v>
      </c>
      <c r="I65" s="73" t="s">
        <v>991</v>
      </c>
      <c r="J65" s="28"/>
      <c r="K65" s="29"/>
      <c r="L65" s="30"/>
      <c r="M65" s="28"/>
      <c r="N65" s="29"/>
      <c r="O65" s="30"/>
      <c r="P65" s="28"/>
      <c r="Q65" s="29"/>
      <c r="R65" s="30"/>
      <c r="S65" s="28"/>
      <c r="T65" s="29"/>
      <c r="U65" s="30"/>
    </row>
    <row r="66" spans="2:21" s="31" customFormat="1" ht="39">
      <c r="B66" s="24">
        <f>IF($C$12:C66&lt;&gt;"",COUNTA($C$12:C66),"")</f>
        <v>47</v>
      </c>
      <c r="C66" s="25" t="s">
        <v>818</v>
      </c>
      <c r="D66" s="26"/>
      <c r="E66" s="26"/>
      <c r="F66" s="27" t="s">
        <v>554</v>
      </c>
      <c r="G66" s="28">
        <v>44944</v>
      </c>
      <c r="H66" s="29" t="s">
        <v>940</v>
      </c>
      <c r="I66" s="30" t="s">
        <v>985</v>
      </c>
      <c r="J66" s="28"/>
      <c r="K66" s="29"/>
      <c r="L66" s="30"/>
      <c r="M66" s="28"/>
      <c r="N66" s="29"/>
      <c r="O66" s="30"/>
      <c r="P66" s="28"/>
      <c r="Q66" s="29"/>
      <c r="R66" s="30"/>
      <c r="S66" s="28"/>
      <c r="T66" s="29"/>
      <c r="U66" s="30"/>
    </row>
    <row r="67" spans="2:21" s="31" customFormat="1" ht="39">
      <c r="B67" s="24">
        <f>IF($C$12:C67&lt;&gt;"",COUNTA($C$12:C67),"")</f>
        <v>48</v>
      </c>
      <c r="C67" s="25" t="s">
        <v>819</v>
      </c>
      <c r="D67" s="26"/>
      <c r="E67" s="26"/>
      <c r="F67" s="27" t="s">
        <v>554</v>
      </c>
      <c r="G67" s="28">
        <v>44945</v>
      </c>
      <c r="H67" s="29" t="s">
        <v>1023</v>
      </c>
      <c r="I67" s="30" t="s">
        <v>268</v>
      </c>
      <c r="J67" s="28"/>
      <c r="K67" s="29"/>
      <c r="L67" s="30"/>
      <c r="M67" s="28"/>
      <c r="N67" s="29"/>
      <c r="O67" s="30"/>
      <c r="P67" s="28"/>
      <c r="Q67" s="29"/>
      <c r="R67" s="30"/>
      <c r="S67" s="28"/>
      <c r="T67" s="29"/>
      <c r="U67" s="30"/>
    </row>
    <row r="68" spans="2:21" s="31" customFormat="1" ht="39">
      <c r="B68" s="24">
        <f>IF($C$12:C68&lt;&gt;"",COUNTA($C$12:C68),"")</f>
        <v>49</v>
      </c>
      <c r="C68" s="25" t="s">
        <v>820</v>
      </c>
      <c r="D68" s="26"/>
      <c r="E68" s="26"/>
      <c r="F68" s="27" t="s">
        <v>554</v>
      </c>
      <c r="G68" s="28">
        <v>44944</v>
      </c>
      <c r="H68" s="29" t="s">
        <v>940</v>
      </c>
      <c r="I68" s="30" t="s">
        <v>1013</v>
      </c>
      <c r="J68" s="28"/>
      <c r="K68" s="29"/>
      <c r="L68" s="30"/>
      <c r="M68" s="28"/>
      <c r="N68" s="29"/>
      <c r="O68" s="30"/>
      <c r="P68" s="28"/>
      <c r="Q68" s="29"/>
      <c r="R68" s="30"/>
      <c r="S68" s="28"/>
      <c r="T68" s="29"/>
      <c r="U68" s="30"/>
    </row>
    <row r="69" spans="2:21" s="31" customFormat="1" ht="39">
      <c r="B69" s="24">
        <f>IF($C$12:C69&lt;&gt;"",COUNTA($C$12:C69),"")</f>
        <v>50</v>
      </c>
      <c r="C69" s="25" t="s">
        <v>821</v>
      </c>
      <c r="D69" s="26"/>
      <c r="E69" s="26"/>
      <c r="F69" s="27" t="s">
        <v>554</v>
      </c>
      <c r="G69" s="28">
        <v>44944</v>
      </c>
      <c r="H69" s="29" t="s">
        <v>940</v>
      </c>
      <c r="I69" s="30" t="s">
        <v>985</v>
      </c>
      <c r="J69" s="28"/>
      <c r="K69" s="29"/>
      <c r="L69" s="30"/>
      <c r="M69" s="28"/>
      <c r="N69" s="29"/>
      <c r="O69" s="30"/>
      <c r="P69" s="28"/>
      <c r="Q69" s="29"/>
      <c r="R69" s="30"/>
      <c r="S69" s="28"/>
      <c r="T69" s="29"/>
      <c r="U69" s="30"/>
    </row>
    <row r="70" spans="2:21" s="31" customFormat="1" ht="39">
      <c r="B70" s="24">
        <f>IF($C$12:C70&lt;&gt;"",COUNTA($C$12:C70),"")</f>
        <v>51</v>
      </c>
      <c r="C70" s="25" t="s">
        <v>822</v>
      </c>
      <c r="D70" s="26"/>
      <c r="E70" s="26"/>
      <c r="F70" s="27" t="s">
        <v>554</v>
      </c>
      <c r="G70" s="28">
        <v>44945</v>
      </c>
      <c r="H70" s="29" t="s">
        <v>1023</v>
      </c>
      <c r="I70" s="30" t="s">
        <v>268</v>
      </c>
      <c r="J70" s="28"/>
      <c r="K70" s="29"/>
      <c r="L70" s="30"/>
      <c r="M70" s="28"/>
      <c r="N70" s="29"/>
      <c r="O70" s="30"/>
      <c r="P70" s="28"/>
      <c r="Q70" s="29"/>
      <c r="R70" s="30"/>
      <c r="S70" s="28"/>
      <c r="T70" s="29"/>
      <c r="U70" s="30"/>
    </row>
    <row r="71" spans="2:21" s="31" customFormat="1" ht="39">
      <c r="B71" s="24">
        <f>IF($C$12:C71&lt;&gt;"",COUNTA($C$12:C71),"")</f>
        <v>52</v>
      </c>
      <c r="C71" s="25" t="s">
        <v>823</v>
      </c>
      <c r="D71" s="26"/>
      <c r="E71" s="26"/>
      <c r="F71" s="27" t="s">
        <v>554</v>
      </c>
      <c r="G71" s="28">
        <v>44945</v>
      </c>
      <c r="H71" s="29" t="s">
        <v>1023</v>
      </c>
      <c r="I71" s="30" t="s">
        <v>268</v>
      </c>
      <c r="J71" s="28"/>
      <c r="K71" s="29"/>
      <c r="L71" s="30"/>
      <c r="M71" s="28"/>
      <c r="N71" s="29"/>
      <c r="O71" s="30"/>
      <c r="P71" s="28"/>
      <c r="Q71" s="29"/>
      <c r="R71" s="30"/>
      <c r="S71" s="28"/>
      <c r="T71" s="29"/>
      <c r="U71" s="30"/>
    </row>
    <row r="72" spans="2:21" s="31" customFormat="1" ht="39">
      <c r="B72" s="24">
        <f>IF($C$12:C72&lt;&gt;"",COUNTA($C$12:C72),"")</f>
        <v>53</v>
      </c>
      <c r="C72" s="25" t="s">
        <v>824</v>
      </c>
      <c r="D72" s="26"/>
      <c r="E72" s="26"/>
      <c r="F72" s="27" t="s">
        <v>554</v>
      </c>
      <c r="G72" s="28">
        <v>44945</v>
      </c>
      <c r="H72" s="29" t="s">
        <v>1023</v>
      </c>
      <c r="I72" s="30" t="s">
        <v>268</v>
      </c>
      <c r="J72" s="28"/>
      <c r="K72" s="29"/>
      <c r="L72" s="30"/>
      <c r="M72" s="28"/>
      <c r="N72" s="29"/>
      <c r="O72" s="30"/>
      <c r="P72" s="28"/>
      <c r="Q72" s="29"/>
      <c r="R72" s="30"/>
      <c r="S72" s="28"/>
      <c r="T72" s="29"/>
      <c r="U72" s="30"/>
    </row>
    <row r="73" spans="2:21" s="31" customFormat="1" ht="39">
      <c r="B73" s="24">
        <f>IF($C$12:C73&lt;&gt;"",COUNTA($C$12:C73),"")</f>
        <v>54</v>
      </c>
      <c r="C73" s="25" t="s">
        <v>825</v>
      </c>
      <c r="D73" s="26"/>
      <c r="E73" s="26"/>
      <c r="F73" s="27" t="s">
        <v>554</v>
      </c>
      <c r="G73" s="28">
        <v>44945</v>
      </c>
      <c r="H73" s="29" t="s">
        <v>1023</v>
      </c>
      <c r="I73" s="30" t="s">
        <v>268</v>
      </c>
      <c r="J73" s="28"/>
      <c r="K73" s="29"/>
      <c r="L73" s="30"/>
      <c r="M73" s="28"/>
      <c r="N73" s="29"/>
      <c r="O73" s="30"/>
      <c r="P73" s="28"/>
      <c r="Q73" s="29"/>
      <c r="R73" s="30"/>
      <c r="S73" s="28"/>
      <c r="T73" s="29"/>
      <c r="U73" s="30"/>
    </row>
    <row r="74" spans="2:21" s="31" customFormat="1" ht="39">
      <c r="B74" s="24">
        <f>IF($C$12:C74&lt;&gt;"",COUNTA($C$12:C74),"")</f>
        <v>55</v>
      </c>
      <c r="C74" s="25" t="s">
        <v>826</v>
      </c>
      <c r="D74" s="26"/>
      <c r="E74" s="26"/>
      <c r="F74" s="27" t="s">
        <v>554</v>
      </c>
      <c r="G74" s="28">
        <v>44945</v>
      </c>
      <c r="H74" s="29" t="s">
        <v>1023</v>
      </c>
      <c r="I74" s="30" t="s">
        <v>268</v>
      </c>
      <c r="J74" s="28"/>
      <c r="K74" s="29"/>
      <c r="L74" s="30"/>
      <c r="M74" s="28"/>
      <c r="N74" s="29"/>
      <c r="O74" s="30"/>
      <c r="P74" s="28"/>
      <c r="Q74" s="29"/>
      <c r="R74" s="30"/>
      <c r="S74" s="28"/>
      <c r="T74" s="29"/>
      <c r="U74" s="30"/>
    </row>
    <row r="75" spans="2:21" s="31" customFormat="1" ht="39">
      <c r="B75" s="24">
        <f>IF($C$12:C75&lt;&gt;"",COUNTA($C$12:C75),"")</f>
        <v>56</v>
      </c>
      <c r="C75" s="25" t="s">
        <v>827</v>
      </c>
      <c r="D75" s="26"/>
      <c r="E75" s="26"/>
      <c r="F75" s="27" t="s">
        <v>554</v>
      </c>
      <c r="G75" s="28">
        <v>44945</v>
      </c>
      <c r="H75" s="29" t="s">
        <v>1023</v>
      </c>
      <c r="I75" s="30" t="s">
        <v>268</v>
      </c>
      <c r="J75" s="28"/>
      <c r="K75" s="29"/>
      <c r="L75" s="30"/>
      <c r="M75" s="28"/>
      <c r="N75" s="29"/>
      <c r="O75" s="30"/>
      <c r="P75" s="28"/>
      <c r="Q75" s="29"/>
      <c r="R75" s="30"/>
      <c r="S75" s="28"/>
      <c r="T75" s="29"/>
      <c r="U75" s="30"/>
    </row>
    <row r="76" spans="2:21" s="31" customFormat="1" ht="39">
      <c r="B76" s="24">
        <f>IF($C$12:C76&lt;&gt;"",COUNTA($C$12:C76),"")</f>
        <v>57</v>
      </c>
      <c r="C76" s="25" t="s">
        <v>828</v>
      </c>
      <c r="D76" s="26"/>
      <c r="E76" s="26"/>
      <c r="F76" s="27" t="s">
        <v>554</v>
      </c>
      <c r="G76" s="28">
        <v>44945</v>
      </c>
      <c r="H76" s="29" t="s">
        <v>1023</v>
      </c>
      <c r="I76" s="30" t="s">
        <v>268</v>
      </c>
      <c r="J76" s="28"/>
      <c r="K76" s="29"/>
      <c r="L76" s="30"/>
      <c r="M76" s="28"/>
      <c r="N76" s="29"/>
      <c r="O76" s="30"/>
      <c r="P76" s="28"/>
      <c r="Q76" s="29"/>
      <c r="R76" s="30"/>
      <c r="S76" s="28"/>
      <c r="T76" s="29"/>
      <c r="U76" s="30"/>
    </row>
    <row r="77" spans="2:21" s="31" customFormat="1" ht="39">
      <c r="B77" s="24">
        <f>IF($C$12:C77&lt;&gt;"",COUNTA($C$12:C77),"")</f>
        <v>58</v>
      </c>
      <c r="C77" s="25" t="s">
        <v>829</v>
      </c>
      <c r="D77" s="26"/>
      <c r="E77" s="26"/>
      <c r="F77" s="27" t="s">
        <v>554</v>
      </c>
      <c r="G77" s="28">
        <v>44945</v>
      </c>
      <c r="H77" s="29" t="s">
        <v>1023</v>
      </c>
      <c r="I77" s="73" t="s">
        <v>991</v>
      </c>
      <c r="J77" s="28"/>
      <c r="K77" s="29"/>
      <c r="L77" s="30"/>
      <c r="M77" s="28"/>
      <c r="N77" s="29"/>
      <c r="O77" s="30"/>
      <c r="P77" s="28"/>
      <c r="Q77" s="29"/>
      <c r="R77" s="30"/>
      <c r="S77" s="28"/>
      <c r="T77" s="29"/>
      <c r="U77" s="30"/>
    </row>
    <row r="78" spans="2:21" s="31" customFormat="1" ht="39">
      <c r="B78" s="24">
        <f>IF($C$12:C78&lt;&gt;"",COUNTA($C$12:C78),"")</f>
        <v>59</v>
      </c>
      <c r="C78" s="25" t="s">
        <v>830</v>
      </c>
      <c r="D78" s="26"/>
      <c r="E78" s="26"/>
      <c r="F78" s="27" t="s">
        <v>554</v>
      </c>
      <c r="G78" s="28">
        <v>44945</v>
      </c>
      <c r="H78" s="29" t="s">
        <v>1023</v>
      </c>
      <c r="I78" s="30" t="s">
        <v>268</v>
      </c>
      <c r="J78" s="28"/>
      <c r="K78" s="29"/>
      <c r="L78" s="30"/>
      <c r="M78" s="28"/>
      <c r="N78" s="29"/>
      <c r="O78" s="30"/>
      <c r="P78" s="28"/>
      <c r="Q78" s="29"/>
      <c r="R78" s="30"/>
      <c r="S78" s="28"/>
      <c r="T78" s="29"/>
      <c r="U78" s="30"/>
    </row>
    <row r="79" spans="2:21" s="31" customFormat="1" ht="39">
      <c r="B79" s="24">
        <f>IF($C$12:C79&lt;&gt;"",COUNTA($C$12:C79),"")</f>
        <v>60</v>
      </c>
      <c r="C79" s="25" t="s">
        <v>831</v>
      </c>
      <c r="D79" s="26"/>
      <c r="E79" s="26"/>
      <c r="F79" s="27" t="s">
        <v>554</v>
      </c>
      <c r="G79" s="28">
        <v>44945</v>
      </c>
      <c r="H79" s="29" t="s">
        <v>1023</v>
      </c>
      <c r="I79" s="30" t="s">
        <v>268</v>
      </c>
      <c r="J79" s="28"/>
      <c r="K79" s="29"/>
      <c r="L79" s="30"/>
      <c r="M79" s="28"/>
      <c r="N79" s="29"/>
      <c r="O79" s="30"/>
      <c r="P79" s="28"/>
      <c r="Q79" s="29"/>
      <c r="R79" s="30"/>
      <c r="S79" s="28"/>
      <c r="T79" s="29"/>
      <c r="U79" s="30"/>
    </row>
    <row r="80" spans="2:21" s="31" customFormat="1" ht="39">
      <c r="B80" s="24">
        <f>IF($C$12:C80&lt;&gt;"",COUNTA($C$12:C80),"")</f>
        <v>61</v>
      </c>
      <c r="C80" s="25" t="s">
        <v>832</v>
      </c>
      <c r="D80" s="26"/>
      <c r="E80" s="26"/>
      <c r="F80" s="27" t="s">
        <v>554</v>
      </c>
      <c r="G80" s="28">
        <v>44945</v>
      </c>
      <c r="H80" s="29" t="s">
        <v>1023</v>
      </c>
      <c r="I80" s="30" t="s">
        <v>268</v>
      </c>
      <c r="J80" s="28"/>
      <c r="K80" s="29"/>
      <c r="L80" s="30"/>
      <c r="M80" s="28"/>
      <c r="N80" s="29"/>
      <c r="O80" s="30"/>
      <c r="P80" s="28"/>
      <c r="Q80" s="29"/>
      <c r="R80" s="30"/>
      <c r="S80" s="28"/>
      <c r="T80" s="29"/>
      <c r="U80" s="30"/>
    </row>
    <row r="81" spans="2:21" s="31" customFormat="1" ht="39">
      <c r="B81" s="24">
        <f>IF($C$12:C81&lt;&gt;"",COUNTA($C$12:C81),"")</f>
        <v>62</v>
      </c>
      <c r="C81" s="25" t="s">
        <v>833</v>
      </c>
      <c r="D81" s="26"/>
      <c r="E81" s="26"/>
      <c r="F81" s="27" t="s">
        <v>554</v>
      </c>
      <c r="G81" s="28">
        <v>44946</v>
      </c>
      <c r="H81" s="29" t="s">
        <v>1023</v>
      </c>
      <c r="I81" s="73" t="s">
        <v>991</v>
      </c>
      <c r="J81" s="28"/>
      <c r="K81" s="29"/>
      <c r="L81" s="30"/>
      <c r="M81" s="28"/>
      <c r="N81" s="29"/>
      <c r="O81" s="30"/>
      <c r="P81" s="28"/>
      <c r="Q81" s="29"/>
      <c r="R81" s="30"/>
      <c r="S81" s="28"/>
      <c r="T81" s="29"/>
      <c r="U81" s="30"/>
    </row>
    <row r="82" spans="2:21" s="31" customFormat="1" ht="39">
      <c r="B82" s="24">
        <f>IF($C$12:C82&lt;&gt;"",COUNTA($C$12:C82),"")</f>
        <v>63</v>
      </c>
      <c r="C82" s="25" t="s">
        <v>834</v>
      </c>
      <c r="D82" s="26"/>
      <c r="E82" s="26"/>
      <c r="F82" s="27" t="s">
        <v>554</v>
      </c>
      <c r="G82" s="28">
        <v>44946</v>
      </c>
      <c r="H82" s="29" t="s">
        <v>1023</v>
      </c>
      <c r="I82" s="30" t="s">
        <v>268</v>
      </c>
      <c r="J82" s="28"/>
      <c r="K82" s="29"/>
      <c r="L82" s="30"/>
      <c r="M82" s="28"/>
      <c r="N82" s="29"/>
      <c r="O82" s="30"/>
      <c r="P82" s="28"/>
      <c r="Q82" s="29"/>
      <c r="R82" s="30"/>
      <c r="S82" s="28"/>
      <c r="T82" s="29"/>
      <c r="U82" s="30"/>
    </row>
    <row r="83" spans="2:21" s="31" customFormat="1" ht="39">
      <c r="B83" s="24">
        <f>IF($C$12:C83&lt;&gt;"",COUNTA($C$12:C83),"")</f>
        <v>64</v>
      </c>
      <c r="C83" s="25" t="s">
        <v>835</v>
      </c>
      <c r="D83" s="26"/>
      <c r="E83" s="26"/>
      <c r="F83" s="27" t="s">
        <v>554</v>
      </c>
      <c r="G83" s="28">
        <v>44946</v>
      </c>
      <c r="H83" s="29" t="s">
        <v>1023</v>
      </c>
      <c r="I83" s="30" t="s">
        <v>268</v>
      </c>
      <c r="J83" s="28"/>
      <c r="K83" s="29"/>
      <c r="L83" s="30"/>
      <c r="M83" s="28"/>
      <c r="N83" s="29"/>
      <c r="O83" s="30"/>
      <c r="P83" s="28"/>
      <c r="Q83" s="29"/>
      <c r="R83" s="30"/>
      <c r="S83" s="28"/>
      <c r="T83" s="29"/>
      <c r="U83" s="30"/>
    </row>
    <row r="84" spans="2:21" s="31" customFormat="1" ht="39">
      <c r="B84" s="24">
        <f>IF($C$12:C84&lt;&gt;"",COUNTA($C$12:C84),"")</f>
        <v>65</v>
      </c>
      <c r="C84" s="25" t="s">
        <v>836</v>
      </c>
      <c r="D84" s="26"/>
      <c r="E84" s="26"/>
      <c r="F84" s="27" t="s">
        <v>554</v>
      </c>
      <c r="G84" s="28">
        <v>44946</v>
      </c>
      <c r="H84" s="29" t="s">
        <v>1023</v>
      </c>
      <c r="I84" s="30" t="s">
        <v>268</v>
      </c>
      <c r="J84" s="28"/>
      <c r="K84" s="29"/>
      <c r="L84" s="30"/>
      <c r="M84" s="28"/>
      <c r="N84" s="29"/>
      <c r="O84" s="30"/>
      <c r="P84" s="28"/>
      <c r="Q84" s="29"/>
      <c r="R84" s="30"/>
      <c r="S84" s="28"/>
      <c r="T84" s="29"/>
      <c r="U84" s="30"/>
    </row>
    <row r="85" spans="2:21" s="31" customFormat="1" ht="39">
      <c r="B85" s="24">
        <f>IF($C$12:C85&lt;&gt;"",COUNTA($C$12:C85),"")</f>
        <v>66</v>
      </c>
      <c r="C85" s="25" t="s">
        <v>837</v>
      </c>
      <c r="D85" s="26"/>
      <c r="E85" s="26"/>
      <c r="F85" s="27" t="s">
        <v>554</v>
      </c>
      <c r="G85" s="28">
        <v>44946</v>
      </c>
      <c r="H85" s="29" t="s">
        <v>1023</v>
      </c>
      <c r="I85" s="30" t="s">
        <v>268</v>
      </c>
      <c r="J85" s="28"/>
      <c r="K85" s="29"/>
      <c r="L85" s="30"/>
      <c r="M85" s="28"/>
      <c r="N85" s="29"/>
      <c r="O85" s="30"/>
      <c r="P85" s="28"/>
      <c r="Q85" s="29"/>
      <c r="R85" s="30"/>
      <c r="S85" s="28"/>
      <c r="T85" s="29"/>
      <c r="U85" s="30"/>
    </row>
    <row r="86" spans="2:21" s="31" customFormat="1" ht="39">
      <c r="B86" s="24">
        <f>IF($C$12:C86&lt;&gt;"",COUNTA($C$12:C86),"")</f>
        <v>67</v>
      </c>
      <c r="C86" s="25" t="s">
        <v>838</v>
      </c>
      <c r="D86" s="26"/>
      <c r="E86" s="26"/>
      <c r="F86" s="27" t="s">
        <v>554</v>
      </c>
      <c r="G86" s="28">
        <v>44946</v>
      </c>
      <c r="H86" s="29" t="s">
        <v>1023</v>
      </c>
      <c r="I86" s="30" t="s">
        <v>268</v>
      </c>
      <c r="J86" s="28"/>
      <c r="K86" s="29"/>
      <c r="L86" s="30"/>
      <c r="M86" s="28"/>
      <c r="N86" s="29"/>
      <c r="O86" s="30"/>
      <c r="P86" s="28"/>
      <c r="Q86" s="29"/>
      <c r="R86" s="30"/>
      <c r="S86" s="28"/>
      <c r="T86" s="29"/>
      <c r="U86" s="30"/>
    </row>
    <row r="87" spans="2:21" s="31" customFormat="1" ht="39">
      <c r="B87" s="24">
        <f>IF($C$12:C87&lt;&gt;"",COUNTA($C$12:C87),"")</f>
        <v>68</v>
      </c>
      <c r="C87" s="25" t="s">
        <v>839</v>
      </c>
      <c r="D87" s="26"/>
      <c r="E87" s="26"/>
      <c r="F87" s="27" t="s">
        <v>554</v>
      </c>
      <c r="G87" s="28">
        <v>44946</v>
      </c>
      <c r="H87" s="29" t="s">
        <v>1023</v>
      </c>
      <c r="I87" s="30" t="s">
        <v>268</v>
      </c>
      <c r="J87" s="28"/>
      <c r="K87" s="29"/>
      <c r="L87" s="30"/>
      <c r="M87" s="28"/>
      <c r="N87" s="29"/>
      <c r="O87" s="30"/>
      <c r="P87" s="28"/>
      <c r="Q87" s="29"/>
      <c r="R87" s="30"/>
      <c r="S87" s="28"/>
      <c r="T87" s="29"/>
      <c r="U87" s="30"/>
    </row>
    <row r="88" spans="2:21" s="31" customFormat="1" ht="39">
      <c r="B88" s="24">
        <f>IF($C$12:C88&lt;&gt;"",COUNTA($C$12:C88),"")</f>
        <v>69</v>
      </c>
      <c r="C88" s="25" t="s">
        <v>840</v>
      </c>
      <c r="D88" s="26"/>
      <c r="E88" s="26"/>
      <c r="F88" s="27" t="s">
        <v>554</v>
      </c>
      <c r="G88" s="28">
        <v>44946</v>
      </c>
      <c r="H88" s="29" t="s">
        <v>1023</v>
      </c>
      <c r="I88" s="30" t="s">
        <v>268</v>
      </c>
      <c r="J88" s="28"/>
      <c r="K88" s="29"/>
      <c r="L88" s="30"/>
      <c r="M88" s="28"/>
      <c r="N88" s="29"/>
      <c r="O88" s="30"/>
      <c r="P88" s="28"/>
      <c r="Q88" s="29"/>
      <c r="R88" s="30"/>
      <c r="S88" s="28"/>
      <c r="T88" s="29"/>
      <c r="U88" s="30"/>
    </row>
    <row r="89" spans="2:21" s="31" customFormat="1" ht="39">
      <c r="B89" s="24">
        <f>IF($C$12:C89&lt;&gt;"",COUNTA($C$12:C89),"")</f>
        <v>70</v>
      </c>
      <c r="C89" s="25" t="s">
        <v>841</v>
      </c>
      <c r="D89" s="26"/>
      <c r="E89" s="26"/>
      <c r="F89" s="27" t="s">
        <v>554</v>
      </c>
      <c r="G89" s="28">
        <v>44946</v>
      </c>
      <c r="H89" s="29" t="s">
        <v>1023</v>
      </c>
      <c r="I89" s="30" t="s">
        <v>268</v>
      </c>
      <c r="J89" s="28"/>
      <c r="K89" s="29"/>
      <c r="L89" s="30"/>
      <c r="M89" s="28"/>
      <c r="N89" s="29"/>
      <c r="O89" s="30"/>
      <c r="P89" s="28"/>
      <c r="Q89" s="29"/>
      <c r="R89" s="30"/>
      <c r="S89" s="28"/>
      <c r="T89" s="29"/>
      <c r="U89" s="30"/>
    </row>
    <row r="90" spans="2:21" s="31" customFormat="1" ht="39">
      <c r="B90" s="24">
        <f>IF($C$12:C90&lt;&gt;"",COUNTA($C$12:C90),"")</f>
        <v>71</v>
      </c>
      <c r="C90" s="25" t="s">
        <v>842</v>
      </c>
      <c r="D90" s="26"/>
      <c r="E90" s="26"/>
      <c r="F90" s="27" t="s">
        <v>554</v>
      </c>
      <c r="G90" s="28">
        <v>44946</v>
      </c>
      <c r="H90" s="29" t="s">
        <v>1023</v>
      </c>
      <c r="I90" s="30" t="s">
        <v>268</v>
      </c>
      <c r="J90" s="28"/>
      <c r="K90" s="29"/>
      <c r="L90" s="30"/>
      <c r="M90" s="28"/>
      <c r="N90" s="29"/>
      <c r="O90" s="30"/>
      <c r="P90" s="28"/>
      <c r="Q90" s="29"/>
      <c r="R90" s="30"/>
      <c r="S90" s="28"/>
      <c r="T90" s="29"/>
      <c r="U90" s="30"/>
    </row>
    <row r="91" spans="2:21" s="31" customFormat="1" ht="39">
      <c r="B91" s="24">
        <f>IF($C$12:C91&lt;&gt;"",COUNTA($C$12:C91),"")</f>
        <v>72</v>
      </c>
      <c r="C91" s="25" t="s">
        <v>843</v>
      </c>
      <c r="D91" s="26"/>
      <c r="E91" s="26"/>
      <c r="F91" s="27" t="s">
        <v>554</v>
      </c>
      <c r="G91" s="28">
        <v>44946</v>
      </c>
      <c r="H91" s="29" t="s">
        <v>1023</v>
      </c>
      <c r="I91" s="30" t="s">
        <v>268</v>
      </c>
      <c r="J91" s="28"/>
      <c r="K91" s="29"/>
      <c r="L91" s="30"/>
      <c r="M91" s="28"/>
      <c r="N91" s="29"/>
      <c r="O91" s="30"/>
      <c r="P91" s="28"/>
      <c r="Q91" s="29"/>
      <c r="R91" s="30"/>
      <c r="S91" s="28"/>
      <c r="T91" s="29"/>
      <c r="U91" s="30"/>
    </row>
    <row r="92" spans="2:21" s="31" customFormat="1" ht="39">
      <c r="B92" s="24">
        <f>IF($C$12:C92&lt;&gt;"",COUNTA($C$12:C92),"")</f>
        <v>73</v>
      </c>
      <c r="C92" s="25" t="s">
        <v>844</v>
      </c>
      <c r="D92" s="26"/>
      <c r="E92" s="26"/>
      <c r="F92" s="27" t="s">
        <v>554</v>
      </c>
      <c r="G92" s="28">
        <v>44946</v>
      </c>
      <c r="H92" s="29" t="s">
        <v>1023</v>
      </c>
      <c r="I92" s="30" t="s">
        <v>268</v>
      </c>
      <c r="J92" s="28"/>
      <c r="K92" s="29"/>
      <c r="L92" s="30"/>
      <c r="M92" s="28"/>
      <c r="N92" s="29"/>
      <c r="O92" s="30"/>
      <c r="P92" s="28"/>
      <c r="Q92" s="29"/>
      <c r="R92" s="30"/>
      <c r="S92" s="28"/>
      <c r="T92" s="29"/>
      <c r="U92" s="30"/>
    </row>
    <row r="93" spans="2:21" s="31" customFormat="1" ht="39">
      <c r="B93" s="24">
        <f>IF($C$12:C93&lt;&gt;"",COUNTA($C$12:C93),"")</f>
        <v>74</v>
      </c>
      <c r="C93" s="25" t="s">
        <v>845</v>
      </c>
      <c r="D93" s="26"/>
      <c r="E93" s="26"/>
      <c r="F93" s="27" t="s">
        <v>554</v>
      </c>
      <c r="G93" s="28">
        <v>44946</v>
      </c>
      <c r="H93" s="29" t="s">
        <v>1023</v>
      </c>
      <c r="I93" s="30" t="s">
        <v>268</v>
      </c>
      <c r="J93" s="28"/>
      <c r="K93" s="29"/>
      <c r="L93" s="30"/>
      <c r="M93" s="28"/>
      <c r="N93" s="29"/>
      <c r="O93" s="30"/>
      <c r="P93" s="28"/>
      <c r="Q93" s="29"/>
      <c r="R93" s="30"/>
      <c r="S93" s="28"/>
      <c r="T93" s="29"/>
      <c r="U93" s="30"/>
    </row>
    <row r="94" spans="2:21" s="31" customFormat="1" ht="39">
      <c r="B94" s="24">
        <f>IF($C$12:C94&lt;&gt;"",COUNTA($C$12:C94),"")</f>
        <v>75</v>
      </c>
      <c r="C94" s="25" t="s">
        <v>846</v>
      </c>
      <c r="D94" s="26"/>
      <c r="E94" s="26"/>
      <c r="F94" s="27" t="s">
        <v>554</v>
      </c>
      <c r="G94" s="28">
        <v>44946</v>
      </c>
      <c r="H94" s="29" t="s">
        <v>1023</v>
      </c>
      <c r="I94" s="30" t="s">
        <v>268</v>
      </c>
      <c r="J94" s="28"/>
      <c r="K94" s="29"/>
      <c r="L94" s="30"/>
      <c r="M94" s="28"/>
      <c r="N94" s="29"/>
      <c r="O94" s="30"/>
      <c r="P94" s="28"/>
      <c r="Q94" s="29"/>
      <c r="R94" s="30"/>
      <c r="S94" s="28"/>
      <c r="T94" s="29"/>
      <c r="U94" s="30"/>
    </row>
    <row r="95" spans="2:21" s="31" customFormat="1">
      <c r="B95" s="24" t="str">
        <f>IF($C$12:C95&lt;&gt;"",COUNTA($C$12:C95),"")</f>
        <v/>
      </c>
      <c r="C95" s="25"/>
      <c r="D95" s="26"/>
      <c r="E95" s="26"/>
      <c r="F95" s="27"/>
      <c r="G95" s="28"/>
      <c r="H95" s="29"/>
      <c r="I95" s="30"/>
      <c r="J95" s="28"/>
      <c r="K95" s="29"/>
      <c r="L95" s="30"/>
      <c r="M95" s="28"/>
      <c r="N95" s="29"/>
      <c r="O95" s="30"/>
      <c r="P95" s="28"/>
      <c r="Q95" s="29"/>
      <c r="R95" s="30"/>
      <c r="S95" s="28"/>
      <c r="T95" s="29"/>
      <c r="U95" s="30"/>
    </row>
    <row r="96" spans="2:21" ht="27.5" customHeight="1">
      <c r="B96" s="172" t="s">
        <v>773</v>
      </c>
      <c r="C96" s="173"/>
      <c r="D96" s="173"/>
      <c r="E96" s="173"/>
      <c r="F96" s="173"/>
      <c r="G96" s="23"/>
      <c r="H96" s="23"/>
      <c r="I96" s="23"/>
      <c r="J96" s="23"/>
      <c r="K96" s="23"/>
      <c r="L96" s="23"/>
      <c r="M96" s="23"/>
      <c r="N96" s="23"/>
      <c r="O96" s="23"/>
      <c r="P96" s="23"/>
      <c r="Q96" s="23"/>
      <c r="R96" s="23"/>
      <c r="S96" s="23"/>
      <c r="T96" s="23"/>
      <c r="U96" s="23"/>
    </row>
    <row r="97" spans="2:21" s="31" customFormat="1" ht="65">
      <c r="B97" s="24">
        <f>IF($C$12:C97&lt;&gt;"",COUNTA($C$12:C97),"")</f>
        <v>76</v>
      </c>
      <c r="C97" s="25" t="s">
        <v>847</v>
      </c>
      <c r="D97" s="26" t="s">
        <v>772</v>
      </c>
      <c r="E97" s="26" t="s">
        <v>581</v>
      </c>
      <c r="F97" s="27" t="s">
        <v>554</v>
      </c>
      <c r="G97" s="28">
        <v>44943</v>
      </c>
      <c r="H97" s="29" t="s">
        <v>984</v>
      </c>
      <c r="I97" s="30" t="s">
        <v>985</v>
      </c>
      <c r="J97" s="28"/>
      <c r="K97" s="29"/>
      <c r="L97" s="30"/>
      <c r="M97" s="28"/>
      <c r="N97" s="29"/>
      <c r="O97" s="30"/>
      <c r="P97" s="28"/>
      <c r="Q97" s="29"/>
      <c r="R97" s="30"/>
      <c r="S97" s="28"/>
      <c r="T97" s="29"/>
      <c r="U97" s="30"/>
    </row>
    <row r="98" spans="2:21" s="31" customFormat="1" ht="39">
      <c r="B98" s="24">
        <f>IF($C$12:C98&lt;&gt;"",COUNTA($C$12:C98),"")</f>
        <v>77</v>
      </c>
      <c r="C98" s="25" t="s">
        <v>848</v>
      </c>
      <c r="D98" s="26"/>
      <c r="E98" s="26"/>
      <c r="F98" s="27" t="s">
        <v>554</v>
      </c>
      <c r="G98" s="28">
        <v>44946</v>
      </c>
      <c r="H98" s="29" t="s">
        <v>940</v>
      </c>
      <c r="I98" s="30" t="s">
        <v>268</v>
      </c>
      <c r="J98" s="28"/>
      <c r="K98" s="29"/>
      <c r="L98" s="30"/>
      <c r="M98" s="28"/>
      <c r="N98" s="29"/>
      <c r="O98" s="30"/>
      <c r="P98" s="28"/>
      <c r="Q98" s="29"/>
      <c r="R98" s="30"/>
      <c r="S98" s="28"/>
      <c r="T98" s="29"/>
      <c r="U98" s="30"/>
    </row>
    <row r="99" spans="2:21" s="31" customFormat="1" ht="39">
      <c r="B99" s="24">
        <f>IF($C$12:C99&lt;&gt;"",COUNTA($C$12:C99),"")</f>
        <v>78</v>
      </c>
      <c r="C99" s="25" t="s">
        <v>849</v>
      </c>
      <c r="D99" s="26"/>
      <c r="E99" s="26"/>
      <c r="F99" s="27" t="s">
        <v>554</v>
      </c>
      <c r="G99" s="28">
        <v>44946</v>
      </c>
      <c r="H99" s="29" t="s">
        <v>940</v>
      </c>
      <c r="I99" s="30" t="s">
        <v>268</v>
      </c>
      <c r="J99" s="28"/>
      <c r="K99" s="29"/>
      <c r="L99" s="30"/>
      <c r="M99" s="28"/>
      <c r="N99" s="29"/>
      <c r="O99" s="30"/>
      <c r="P99" s="28"/>
      <c r="Q99" s="29"/>
      <c r="R99" s="30"/>
      <c r="S99" s="28"/>
      <c r="T99" s="29"/>
      <c r="U99" s="30"/>
    </row>
    <row r="100" spans="2:21" s="31" customFormat="1" ht="39">
      <c r="B100" s="24">
        <f>IF($C$12:C100&lt;&gt;"",COUNTA($C$12:C100),"")</f>
        <v>79</v>
      </c>
      <c r="C100" s="25" t="s">
        <v>850</v>
      </c>
      <c r="D100" s="26"/>
      <c r="E100" s="26"/>
      <c r="F100" s="27" t="s">
        <v>554</v>
      </c>
      <c r="G100" s="28">
        <v>44946</v>
      </c>
      <c r="H100" s="29" t="s">
        <v>940</v>
      </c>
      <c r="I100" s="30" t="s">
        <v>268</v>
      </c>
      <c r="J100" s="28"/>
      <c r="K100" s="29"/>
      <c r="L100" s="30"/>
      <c r="M100" s="28"/>
      <c r="N100" s="29"/>
      <c r="O100" s="30"/>
      <c r="P100" s="28"/>
      <c r="Q100" s="29"/>
      <c r="R100" s="30"/>
      <c r="S100" s="28"/>
      <c r="T100" s="29"/>
      <c r="U100" s="30"/>
    </row>
    <row r="101" spans="2:21" s="31" customFormat="1" ht="39">
      <c r="B101" s="24">
        <f>IF($C$12:C101&lt;&gt;"",COUNTA($C$12:C101),"")</f>
        <v>80</v>
      </c>
      <c r="C101" s="25" t="s">
        <v>851</v>
      </c>
      <c r="D101" s="26"/>
      <c r="E101" s="26"/>
      <c r="F101" s="27" t="s">
        <v>554</v>
      </c>
      <c r="G101" s="28">
        <v>44946</v>
      </c>
      <c r="H101" s="29" t="s">
        <v>940</v>
      </c>
      <c r="I101" s="30" t="s">
        <v>268</v>
      </c>
      <c r="J101" s="28"/>
      <c r="K101" s="29"/>
      <c r="L101" s="30"/>
      <c r="M101" s="28"/>
      <c r="N101" s="29"/>
      <c r="O101" s="30"/>
      <c r="P101" s="28"/>
      <c r="Q101" s="29"/>
      <c r="R101" s="30"/>
      <c r="S101" s="28"/>
      <c r="T101" s="29"/>
      <c r="U101" s="30"/>
    </row>
    <row r="102" spans="2:21" s="31" customFormat="1" ht="39">
      <c r="B102" s="24">
        <f>IF($C$12:C102&lt;&gt;"",COUNTA($C$12:C102),"")</f>
        <v>81</v>
      </c>
      <c r="C102" s="25" t="s">
        <v>1048</v>
      </c>
      <c r="D102" s="26"/>
      <c r="E102" s="26"/>
      <c r="F102" s="27" t="s">
        <v>554</v>
      </c>
      <c r="G102" s="28">
        <v>44946</v>
      </c>
      <c r="H102" s="29" t="s">
        <v>940</v>
      </c>
      <c r="I102" s="30" t="s">
        <v>268</v>
      </c>
      <c r="J102" s="28"/>
      <c r="K102" s="29"/>
      <c r="L102" s="30"/>
      <c r="M102" s="28"/>
      <c r="N102" s="29"/>
      <c r="O102" s="30"/>
      <c r="P102" s="28"/>
      <c r="Q102" s="29"/>
      <c r="R102" s="30"/>
      <c r="S102" s="28"/>
      <c r="T102" s="29"/>
      <c r="U102" s="30"/>
    </row>
    <row r="103" spans="2:21" s="31" customFormat="1">
      <c r="B103" s="24" t="str">
        <f>IF($C$12:C103&lt;&gt;"",COUNTA($C$12:C103),"")</f>
        <v/>
      </c>
      <c r="C103" s="25"/>
      <c r="D103" s="26"/>
      <c r="E103" s="26"/>
      <c r="F103" s="27"/>
      <c r="G103" s="28"/>
      <c r="H103" s="29"/>
      <c r="I103" s="30"/>
      <c r="J103" s="28"/>
      <c r="K103" s="29"/>
      <c r="L103" s="30"/>
      <c r="M103" s="28"/>
      <c r="N103" s="29"/>
      <c r="O103" s="30"/>
      <c r="P103" s="28"/>
      <c r="Q103" s="29"/>
      <c r="R103" s="30"/>
      <c r="S103" s="28"/>
      <c r="T103" s="29"/>
      <c r="U103" s="30"/>
    </row>
    <row r="104" spans="2:21" ht="27.5" customHeight="1">
      <c r="B104" s="172" t="s">
        <v>775</v>
      </c>
      <c r="C104" s="173"/>
      <c r="D104" s="173"/>
      <c r="E104" s="173"/>
      <c r="F104" s="173"/>
      <c r="G104" s="23"/>
      <c r="H104" s="23"/>
      <c r="I104" s="23"/>
      <c r="J104" s="23"/>
      <c r="K104" s="23"/>
      <c r="L104" s="23"/>
      <c r="M104" s="23"/>
      <c r="N104" s="23"/>
      <c r="O104" s="23"/>
      <c r="P104" s="23"/>
      <c r="Q104" s="23"/>
      <c r="R104" s="23"/>
      <c r="S104" s="23"/>
      <c r="T104" s="23"/>
      <c r="U104" s="23"/>
    </row>
    <row r="105" spans="2:21" s="31" customFormat="1" ht="65">
      <c r="B105" s="24">
        <f>IF($C$12:C105&lt;&gt;"",COUNTA($C$12:C105),"")</f>
        <v>82</v>
      </c>
      <c r="C105" s="25" t="s">
        <v>852</v>
      </c>
      <c r="D105" s="25" t="s">
        <v>774</v>
      </c>
      <c r="E105" s="25" t="s">
        <v>553</v>
      </c>
      <c r="F105" s="27" t="s">
        <v>554</v>
      </c>
      <c r="G105" s="28">
        <v>44942</v>
      </c>
      <c r="H105" s="29" t="s">
        <v>940</v>
      </c>
      <c r="I105" s="30" t="s">
        <v>941</v>
      </c>
      <c r="J105" s="28"/>
      <c r="K105" s="29"/>
      <c r="L105" s="30"/>
      <c r="M105" s="28"/>
      <c r="N105" s="29"/>
      <c r="O105" s="30"/>
      <c r="P105" s="28"/>
      <c r="Q105" s="29"/>
      <c r="R105" s="30"/>
      <c r="S105" s="28"/>
      <c r="T105" s="29"/>
      <c r="U105" s="30"/>
    </row>
    <row r="106" spans="2:21" s="31" customFormat="1" ht="39">
      <c r="B106" s="24">
        <f>IF($C$12:C106&lt;&gt;"",COUNTA($C$12:C106),"")</f>
        <v>83</v>
      </c>
      <c r="C106" s="25" t="s">
        <v>853</v>
      </c>
      <c r="D106" s="26"/>
      <c r="E106" s="26"/>
      <c r="F106" s="27" t="s">
        <v>554</v>
      </c>
      <c r="G106" s="28">
        <v>44946</v>
      </c>
      <c r="H106" s="29" t="s">
        <v>940</v>
      </c>
      <c r="I106" s="30" t="s">
        <v>268</v>
      </c>
      <c r="J106" s="28"/>
      <c r="K106" s="29"/>
      <c r="L106" s="30"/>
      <c r="M106" s="28"/>
      <c r="N106" s="29"/>
      <c r="O106" s="30"/>
      <c r="P106" s="28"/>
      <c r="Q106" s="29"/>
      <c r="R106" s="30"/>
      <c r="S106" s="28"/>
      <c r="T106" s="29"/>
      <c r="U106" s="30"/>
    </row>
    <row r="107" spans="2:21" s="31" customFormat="1" ht="39">
      <c r="B107" s="24">
        <f>IF($C$12:C107&lt;&gt;"",COUNTA($C$12:C107),"")</f>
        <v>84</v>
      </c>
      <c r="C107" s="25" t="s">
        <v>854</v>
      </c>
      <c r="D107" s="26"/>
      <c r="E107" s="26"/>
      <c r="F107" s="27" t="s">
        <v>554</v>
      </c>
      <c r="G107" s="28">
        <v>44949</v>
      </c>
      <c r="H107" s="29" t="s">
        <v>1052</v>
      </c>
      <c r="I107" s="30" t="s">
        <v>1053</v>
      </c>
      <c r="J107" s="28"/>
      <c r="K107" s="29"/>
      <c r="L107" s="30"/>
      <c r="M107" s="28"/>
      <c r="N107" s="29"/>
      <c r="O107" s="30"/>
      <c r="P107" s="28"/>
      <c r="Q107" s="29"/>
      <c r="R107" s="30"/>
      <c r="S107" s="28"/>
      <c r="T107" s="29"/>
      <c r="U107" s="30"/>
    </row>
    <row r="108" spans="2:21" s="31" customFormat="1" ht="39">
      <c r="B108" s="24">
        <f>IF($C$12:C108&lt;&gt;"",COUNTA($C$12:C108),"")</f>
        <v>85</v>
      </c>
      <c r="C108" s="25" t="s">
        <v>855</v>
      </c>
      <c r="D108" s="26"/>
      <c r="E108" s="26"/>
      <c r="F108" s="27" t="s">
        <v>554</v>
      </c>
      <c r="G108" s="28">
        <v>44949</v>
      </c>
      <c r="H108" s="29" t="s">
        <v>1052</v>
      </c>
      <c r="I108" s="30" t="s">
        <v>1053</v>
      </c>
      <c r="J108" s="28"/>
      <c r="K108" s="29"/>
      <c r="L108" s="30"/>
      <c r="M108" s="28"/>
      <c r="N108" s="29"/>
      <c r="O108" s="30"/>
      <c r="P108" s="28"/>
      <c r="Q108" s="29"/>
      <c r="R108" s="30"/>
      <c r="S108" s="28"/>
      <c r="T108" s="29"/>
      <c r="U108" s="30"/>
    </row>
    <row r="109" spans="2:21" s="31" customFormat="1" ht="39">
      <c r="B109" s="24">
        <f>IF($C$12:C109&lt;&gt;"",COUNTA($C$12:C109),"")</f>
        <v>86</v>
      </c>
      <c r="C109" s="25" t="s">
        <v>856</v>
      </c>
      <c r="D109" s="26"/>
      <c r="E109" s="26"/>
      <c r="F109" s="27" t="s">
        <v>554</v>
      </c>
      <c r="G109" s="37">
        <v>44946</v>
      </c>
      <c r="H109" s="29" t="s">
        <v>940</v>
      </c>
      <c r="I109" s="30" t="s">
        <v>941</v>
      </c>
      <c r="J109" s="28"/>
      <c r="K109" s="29"/>
      <c r="L109" s="30"/>
      <c r="M109" s="28"/>
      <c r="N109" s="29"/>
      <c r="O109" s="30"/>
      <c r="P109" s="28"/>
      <c r="Q109" s="29"/>
      <c r="R109" s="30"/>
      <c r="S109" s="28"/>
      <c r="T109" s="29"/>
      <c r="U109" s="30"/>
    </row>
    <row r="110" spans="2:21" s="31" customFormat="1" ht="39">
      <c r="B110" s="24">
        <f>IF($C$12:C110&lt;&gt;"",COUNTA($C$12:C110),"")</f>
        <v>87</v>
      </c>
      <c r="C110" s="25" t="s">
        <v>857</v>
      </c>
      <c r="D110" s="26"/>
      <c r="E110" s="26"/>
      <c r="F110" s="27" t="s">
        <v>554</v>
      </c>
      <c r="G110" s="37">
        <v>44946</v>
      </c>
      <c r="H110" s="29" t="s">
        <v>940</v>
      </c>
      <c r="I110" s="30" t="s">
        <v>941</v>
      </c>
      <c r="J110" s="28"/>
      <c r="K110" s="29"/>
      <c r="L110" s="30"/>
      <c r="M110" s="28"/>
      <c r="N110" s="29"/>
      <c r="O110" s="30"/>
      <c r="P110" s="28"/>
      <c r="Q110" s="29"/>
      <c r="R110" s="30"/>
      <c r="S110" s="28"/>
      <c r="T110" s="29"/>
      <c r="U110" s="30"/>
    </row>
    <row r="111" spans="2:21" s="31" customFormat="1" ht="39">
      <c r="B111" s="24">
        <f>IF($C$12:C111&lt;&gt;"",COUNTA($C$12:C111),"")</f>
        <v>88</v>
      </c>
      <c r="C111" s="25" t="s">
        <v>858</v>
      </c>
      <c r="D111" s="26"/>
      <c r="E111" s="26"/>
      <c r="F111" s="27" t="s">
        <v>554</v>
      </c>
      <c r="G111" s="37">
        <v>44946</v>
      </c>
      <c r="H111" s="29" t="s">
        <v>940</v>
      </c>
      <c r="I111" s="30" t="s">
        <v>941</v>
      </c>
      <c r="J111" s="28"/>
      <c r="K111" s="29"/>
      <c r="L111" s="30"/>
      <c r="M111" s="28"/>
      <c r="N111" s="29"/>
      <c r="O111" s="30"/>
      <c r="P111" s="28"/>
      <c r="Q111" s="29"/>
      <c r="R111" s="30"/>
      <c r="S111" s="28"/>
      <c r="T111" s="29"/>
      <c r="U111" s="30"/>
    </row>
    <row r="112" spans="2:21" s="31" customFormat="1" ht="39">
      <c r="B112" s="24">
        <f>IF($C$12:C112&lt;&gt;"",COUNTA($C$12:C112),"")</f>
        <v>89</v>
      </c>
      <c r="C112" s="25" t="s">
        <v>859</v>
      </c>
      <c r="D112" s="26"/>
      <c r="E112" s="26"/>
      <c r="F112" s="27" t="s">
        <v>554</v>
      </c>
      <c r="G112" s="37">
        <v>44946</v>
      </c>
      <c r="H112" s="29" t="s">
        <v>940</v>
      </c>
      <c r="I112" s="30" t="s">
        <v>941</v>
      </c>
      <c r="J112" s="28"/>
      <c r="K112" s="29"/>
      <c r="L112" s="30"/>
      <c r="M112" s="28"/>
      <c r="N112" s="29"/>
      <c r="O112" s="30"/>
      <c r="P112" s="28"/>
      <c r="Q112" s="29"/>
      <c r="R112" s="30"/>
      <c r="S112" s="28"/>
      <c r="T112" s="29"/>
      <c r="U112" s="30"/>
    </row>
    <row r="113" spans="2:21" s="31" customFormat="1" ht="39">
      <c r="B113" s="24">
        <f>IF($C$12:C113&lt;&gt;"",COUNTA($C$12:C113),"")</f>
        <v>90</v>
      </c>
      <c r="C113" s="25" t="s">
        <v>860</v>
      </c>
      <c r="D113" s="26"/>
      <c r="E113" s="26"/>
      <c r="F113" s="27" t="s">
        <v>554</v>
      </c>
      <c r="G113" s="37">
        <v>44946</v>
      </c>
      <c r="H113" s="29" t="s">
        <v>940</v>
      </c>
      <c r="I113" s="30" t="s">
        <v>941</v>
      </c>
      <c r="J113" s="28"/>
      <c r="K113" s="29"/>
      <c r="L113" s="30"/>
      <c r="M113" s="28"/>
      <c r="N113" s="29"/>
      <c r="O113" s="30"/>
      <c r="P113" s="28"/>
      <c r="Q113" s="29"/>
      <c r="R113" s="30"/>
      <c r="S113" s="28"/>
      <c r="T113" s="29"/>
      <c r="U113" s="30"/>
    </row>
    <row r="114" spans="2:21" s="31" customFormat="1" ht="39">
      <c r="B114" s="24">
        <f>IF($C$12:C114&lt;&gt;"",COUNTA($C$12:C114),"")</f>
        <v>91</v>
      </c>
      <c r="C114" s="25" t="s">
        <v>861</v>
      </c>
      <c r="D114" s="26"/>
      <c r="E114" s="26"/>
      <c r="F114" s="27" t="s">
        <v>554</v>
      </c>
      <c r="G114" s="28">
        <v>44949</v>
      </c>
      <c r="H114" s="29" t="s">
        <v>1052</v>
      </c>
      <c r="I114" s="30" t="s">
        <v>1053</v>
      </c>
      <c r="J114" s="28"/>
      <c r="K114" s="29"/>
      <c r="L114" s="30"/>
      <c r="M114" s="28"/>
      <c r="N114" s="29"/>
      <c r="O114" s="30"/>
      <c r="P114" s="28"/>
      <c r="Q114" s="29"/>
      <c r="R114" s="30"/>
      <c r="S114" s="28"/>
      <c r="T114" s="29"/>
      <c r="U114" s="30"/>
    </row>
    <row r="115" spans="2:21" s="31" customFormat="1" ht="39">
      <c r="B115" s="24">
        <f>IF($C$12:C115&lt;&gt;"",COUNTA($C$12:C115),"")</f>
        <v>92</v>
      </c>
      <c r="C115" s="25" t="s">
        <v>862</v>
      </c>
      <c r="D115" s="26"/>
      <c r="E115" s="26"/>
      <c r="F115" s="27" t="s">
        <v>554</v>
      </c>
      <c r="G115" s="28">
        <v>44949</v>
      </c>
      <c r="H115" s="29" t="s">
        <v>1052</v>
      </c>
      <c r="I115" s="30" t="s">
        <v>1053</v>
      </c>
      <c r="J115" s="28"/>
      <c r="K115" s="29"/>
      <c r="L115" s="30"/>
      <c r="M115" s="28"/>
      <c r="N115" s="29"/>
      <c r="O115" s="30"/>
      <c r="P115" s="28"/>
      <c r="Q115" s="29"/>
      <c r="R115" s="30"/>
      <c r="S115" s="28"/>
      <c r="T115" s="29"/>
      <c r="U115" s="30"/>
    </row>
    <row r="116" spans="2:21" s="31" customFormat="1" ht="39">
      <c r="B116" s="24">
        <f>IF($C$12:C116&lt;&gt;"",COUNTA($C$12:C116),"")</f>
        <v>93</v>
      </c>
      <c r="C116" s="25" t="s">
        <v>863</v>
      </c>
      <c r="D116" s="26"/>
      <c r="E116" s="26"/>
      <c r="F116" s="27" t="s">
        <v>554</v>
      </c>
      <c r="G116" s="28">
        <v>44949</v>
      </c>
      <c r="H116" s="29" t="s">
        <v>1052</v>
      </c>
      <c r="I116" s="30" t="s">
        <v>1053</v>
      </c>
      <c r="J116" s="28"/>
      <c r="K116" s="29"/>
      <c r="L116" s="30"/>
      <c r="M116" s="28"/>
      <c r="N116" s="29"/>
      <c r="O116" s="30"/>
      <c r="P116" s="28"/>
      <c r="Q116" s="29"/>
      <c r="R116" s="30"/>
      <c r="S116" s="28"/>
      <c r="T116" s="29"/>
      <c r="U116" s="30"/>
    </row>
    <row r="117" spans="2:21" s="31" customFormat="1" ht="39">
      <c r="B117" s="24">
        <f>IF($C$12:C117&lt;&gt;"",COUNTA($C$12:C117),"")</f>
        <v>94</v>
      </c>
      <c r="C117" s="25" t="s">
        <v>864</v>
      </c>
      <c r="D117" s="26"/>
      <c r="E117" s="26"/>
      <c r="F117" s="27" t="s">
        <v>554</v>
      </c>
      <c r="G117" s="28">
        <v>44949</v>
      </c>
      <c r="H117" s="29" t="s">
        <v>1052</v>
      </c>
      <c r="I117" s="30" t="s">
        <v>1053</v>
      </c>
      <c r="J117" s="28"/>
      <c r="K117" s="29"/>
      <c r="L117" s="30"/>
      <c r="M117" s="28"/>
      <c r="N117" s="29"/>
      <c r="O117" s="30"/>
      <c r="P117" s="28"/>
      <c r="Q117" s="29"/>
      <c r="R117" s="30"/>
      <c r="S117" s="28"/>
      <c r="T117" s="29"/>
      <c r="U117" s="30"/>
    </row>
    <row r="118" spans="2:21" s="31" customFormat="1" ht="39">
      <c r="B118" s="24">
        <f>IF($C$12:C118&lt;&gt;"",COUNTA($C$12:C118),"")</f>
        <v>95</v>
      </c>
      <c r="C118" s="25" t="s">
        <v>865</v>
      </c>
      <c r="D118" s="26"/>
      <c r="E118" s="26"/>
      <c r="F118" s="27" t="s">
        <v>554</v>
      </c>
      <c r="G118" s="28">
        <v>44949</v>
      </c>
      <c r="H118" s="29" t="s">
        <v>1052</v>
      </c>
      <c r="I118" s="30" t="s">
        <v>1053</v>
      </c>
      <c r="J118" s="28"/>
      <c r="K118" s="29"/>
      <c r="L118" s="30"/>
      <c r="M118" s="28"/>
      <c r="N118" s="29"/>
      <c r="O118" s="30"/>
      <c r="P118" s="28"/>
      <c r="Q118" s="29"/>
      <c r="R118" s="30"/>
      <c r="S118" s="28"/>
      <c r="T118" s="29"/>
      <c r="U118" s="30"/>
    </row>
    <row r="119" spans="2:21" s="31" customFormat="1" ht="39">
      <c r="B119" s="24">
        <f>IF($C$12:C119&lt;&gt;"",COUNTA($C$12:C119),"")</f>
        <v>96</v>
      </c>
      <c r="C119" s="25" t="s">
        <v>866</v>
      </c>
      <c r="D119" s="26"/>
      <c r="E119" s="26"/>
      <c r="F119" s="27" t="s">
        <v>554</v>
      </c>
      <c r="G119" s="28">
        <v>44949</v>
      </c>
      <c r="H119" s="29" t="s">
        <v>1052</v>
      </c>
      <c r="I119" s="30" t="s">
        <v>1053</v>
      </c>
      <c r="J119" s="28"/>
      <c r="K119" s="29"/>
      <c r="L119" s="30"/>
      <c r="M119" s="28"/>
      <c r="N119" s="29"/>
      <c r="O119" s="30"/>
      <c r="P119" s="28"/>
      <c r="Q119" s="29"/>
      <c r="R119" s="30"/>
      <c r="S119" s="28"/>
      <c r="T119" s="29"/>
      <c r="U119" s="30"/>
    </row>
    <row r="120" spans="2:21" s="31" customFormat="1" ht="39">
      <c r="B120" s="24">
        <f>IF($C$12:C120&lt;&gt;"",COUNTA($C$12:C120),"")</f>
        <v>97</v>
      </c>
      <c r="C120" s="25" t="s">
        <v>867</v>
      </c>
      <c r="D120" s="26"/>
      <c r="E120" s="26"/>
      <c r="F120" s="27" t="s">
        <v>554</v>
      </c>
      <c r="G120" s="28">
        <v>44949</v>
      </c>
      <c r="H120" s="29" t="s">
        <v>1052</v>
      </c>
      <c r="I120" s="30" t="s">
        <v>1053</v>
      </c>
      <c r="J120" s="28"/>
      <c r="K120" s="29"/>
      <c r="L120" s="30"/>
      <c r="M120" s="28"/>
      <c r="N120" s="29"/>
      <c r="O120" s="30"/>
      <c r="P120" s="28"/>
      <c r="Q120" s="29"/>
      <c r="R120" s="30"/>
      <c r="S120" s="28"/>
      <c r="T120" s="29"/>
      <c r="U120" s="30"/>
    </row>
    <row r="121" spans="2:21" s="31" customFormat="1" ht="39">
      <c r="B121" s="24">
        <f>IF($C$12:C121&lt;&gt;"",COUNTA($C$12:C121),"")</f>
        <v>98</v>
      </c>
      <c r="C121" s="25" t="s">
        <v>868</v>
      </c>
      <c r="D121" s="26"/>
      <c r="E121" s="26"/>
      <c r="F121" s="27" t="s">
        <v>554</v>
      </c>
      <c r="G121" s="28">
        <v>44949</v>
      </c>
      <c r="H121" s="29" t="s">
        <v>1052</v>
      </c>
      <c r="I121" s="30" t="s">
        <v>1053</v>
      </c>
      <c r="J121" s="28"/>
      <c r="K121" s="29"/>
      <c r="L121" s="30"/>
      <c r="M121" s="28"/>
      <c r="N121" s="29"/>
      <c r="O121" s="30"/>
      <c r="P121" s="28"/>
      <c r="Q121" s="29"/>
      <c r="R121" s="30"/>
      <c r="S121" s="28"/>
      <c r="T121" s="29"/>
      <c r="U121" s="30"/>
    </row>
    <row r="122" spans="2:21" s="31" customFormat="1" ht="39">
      <c r="B122" s="24">
        <f>IF($C$12:C122&lt;&gt;"",COUNTA($C$12:C122),"")</f>
        <v>99</v>
      </c>
      <c r="C122" s="25" t="s">
        <v>869</v>
      </c>
      <c r="D122" s="26"/>
      <c r="E122" s="26"/>
      <c r="F122" s="27" t="s">
        <v>554</v>
      </c>
      <c r="G122" s="28">
        <v>44949</v>
      </c>
      <c r="H122" s="29" t="s">
        <v>1052</v>
      </c>
      <c r="I122" s="30" t="s">
        <v>1053</v>
      </c>
      <c r="J122" s="28"/>
      <c r="K122" s="29"/>
      <c r="L122" s="30"/>
      <c r="M122" s="28"/>
      <c r="N122" s="29"/>
      <c r="O122" s="30"/>
      <c r="P122" s="28"/>
      <c r="Q122" s="29"/>
      <c r="R122" s="30"/>
      <c r="S122" s="28"/>
      <c r="T122" s="29"/>
      <c r="U122" s="30"/>
    </row>
    <row r="123" spans="2:21" s="31" customFormat="1" ht="39">
      <c r="B123" s="24">
        <f>IF($C$12:C123&lt;&gt;"",COUNTA($C$12:C123),"")</f>
        <v>100</v>
      </c>
      <c r="C123" s="25" t="s">
        <v>870</v>
      </c>
      <c r="D123" s="26"/>
      <c r="E123" s="26"/>
      <c r="F123" s="27" t="s">
        <v>554</v>
      </c>
      <c r="G123" s="28">
        <v>44949</v>
      </c>
      <c r="H123" s="29" t="s">
        <v>1052</v>
      </c>
      <c r="I123" s="30" t="s">
        <v>1053</v>
      </c>
      <c r="J123" s="28"/>
      <c r="K123" s="29"/>
      <c r="L123" s="30"/>
      <c r="M123" s="28"/>
      <c r="N123" s="29"/>
      <c r="O123" s="30"/>
      <c r="P123" s="28"/>
      <c r="Q123" s="29"/>
      <c r="R123" s="30"/>
      <c r="S123" s="28"/>
      <c r="T123" s="29"/>
      <c r="U123" s="30"/>
    </row>
    <row r="124" spans="2:21" s="31" customFormat="1" ht="39">
      <c r="B124" s="24">
        <f>IF($C$12:C124&lt;&gt;"",COUNTA($C$12:C124),"")</f>
        <v>101</v>
      </c>
      <c r="C124" s="25" t="s">
        <v>896</v>
      </c>
      <c r="D124" s="26"/>
      <c r="E124" s="26"/>
      <c r="F124" s="27" t="s">
        <v>554</v>
      </c>
      <c r="G124" s="28">
        <v>44949</v>
      </c>
      <c r="H124" s="29" t="s">
        <v>1052</v>
      </c>
      <c r="I124" s="30" t="s">
        <v>1053</v>
      </c>
      <c r="J124" s="28"/>
      <c r="K124" s="29"/>
      <c r="L124" s="30"/>
      <c r="M124" s="28"/>
      <c r="N124" s="29"/>
      <c r="O124" s="30"/>
      <c r="P124" s="28"/>
      <c r="Q124" s="29"/>
      <c r="R124" s="30"/>
      <c r="S124" s="28"/>
      <c r="T124" s="29"/>
      <c r="U124" s="30"/>
    </row>
    <row r="125" spans="2:21" s="31" customFormat="1">
      <c r="B125" s="24" t="str">
        <f>IF($C$12:C125&lt;&gt;"",COUNTA($C$12:C125),"")</f>
        <v/>
      </c>
      <c r="C125" s="25"/>
      <c r="D125" s="26"/>
      <c r="E125" s="26"/>
      <c r="F125" s="27"/>
      <c r="G125" s="28"/>
      <c r="H125" s="29"/>
      <c r="I125" s="30"/>
      <c r="J125" s="28"/>
      <c r="K125" s="29"/>
      <c r="L125" s="30"/>
      <c r="M125" s="28"/>
      <c r="N125" s="29"/>
      <c r="O125" s="30"/>
      <c r="P125" s="28"/>
      <c r="Q125" s="29"/>
      <c r="R125" s="30"/>
      <c r="S125" s="28"/>
      <c r="T125" s="29"/>
      <c r="U125" s="30"/>
    </row>
    <row r="126" spans="2:21" s="31" customFormat="1" ht="20" customHeight="1">
      <c r="B126" s="75" t="str">
        <f>IF($C$12:C126&lt;&gt;"",COUNTA($C$12:C126),"")</f>
        <v/>
      </c>
      <c r="C126" s="76"/>
      <c r="D126" s="76" t="s">
        <v>1003</v>
      </c>
      <c r="E126" s="77"/>
      <c r="F126" s="27"/>
      <c r="G126" s="28"/>
      <c r="H126" s="29"/>
      <c r="I126" s="30"/>
      <c r="J126" s="28"/>
      <c r="K126" s="29"/>
      <c r="L126" s="30"/>
      <c r="M126" s="28"/>
      <c r="N126" s="29"/>
      <c r="O126" s="30"/>
      <c r="P126" s="28"/>
      <c r="Q126" s="29"/>
      <c r="R126" s="30"/>
      <c r="S126" s="28"/>
      <c r="T126" s="29"/>
      <c r="U126" s="30"/>
    </row>
    <row r="127" spans="2:21" ht="27.5" customHeight="1">
      <c r="B127" s="172" t="s">
        <v>992</v>
      </c>
      <c r="C127" s="173"/>
      <c r="D127" s="173"/>
      <c r="E127" s="173"/>
      <c r="F127" s="173"/>
      <c r="G127" s="23"/>
      <c r="H127" s="23"/>
      <c r="I127" s="23"/>
      <c r="J127" s="23"/>
      <c r="K127" s="23"/>
      <c r="L127" s="23"/>
      <c r="M127" s="23"/>
      <c r="N127" s="23"/>
      <c r="O127" s="23"/>
      <c r="P127" s="23"/>
      <c r="Q127" s="23"/>
      <c r="R127" s="23"/>
      <c r="S127" s="23"/>
      <c r="T127" s="23"/>
      <c r="U127" s="23"/>
    </row>
    <row r="128" spans="2:21" s="31" customFormat="1" ht="65">
      <c r="B128" s="24">
        <f>IF($C$12:C128&lt;&gt;"",COUNTA($C$12:C128),"")</f>
        <v>102</v>
      </c>
      <c r="C128" s="25" t="s">
        <v>1004</v>
      </c>
      <c r="D128" s="26" t="s">
        <v>771</v>
      </c>
      <c r="E128" s="26" t="s">
        <v>576</v>
      </c>
      <c r="F128" s="27" t="s">
        <v>554</v>
      </c>
      <c r="G128" s="28">
        <v>44946</v>
      </c>
      <c r="H128" s="29" t="s">
        <v>1023</v>
      </c>
      <c r="I128" s="30" t="s">
        <v>268</v>
      </c>
      <c r="J128" s="28"/>
      <c r="K128" s="29"/>
      <c r="L128" s="30"/>
      <c r="M128" s="28"/>
      <c r="N128" s="29"/>
      <c r="O128" s="30"/>
      <c r="P128" s="28"/>
      <c r="Q128" s="29"/>
      <c r="R128" s="30"/>
      <c r="S128" s="28"/>
      <c r="T128" s="29"/>
      <c r="U128" s="30"/>
    </row>
    <row r="129" spans="2:21" s="31" customFormat="1" ht="39">
      <c r="B129" s="24">
        <f>IF($C$12:C129&lt;&gt;"",COUNTA($C$12:C129),"")</f>
        <v>103</v>
      </c>
      <c r="C129" s="25" t="s">
        <v>1005</v>
      </c>
      <c r="D129" s="26"/>
      <c r="E129" s="26"/>
      <c r="F129" s="27" t="s">
        <v>554</v>
      </c>
      <c r="G129" s="28">
        <v>44946</v>
      </c>
      <c r="H129" s="29" t="s">
        <v>1023</v>
      </c>
      <c r="I129" s="30" t="s">
        <v>268</v>
      </c>
      <c r="J129" s="28"/>
      <c r="K129" s="29"/>
      <c r="L129" s="30"/>
      <c r="M129" s="28"/>
      <c r="N129" s="29"/>
      <c r="O129" s="30"/>
      <c r="P129" s="28"/>
      <c r="Q129" s="29"/>
      <c r="R129" s="30"/>
      <c r="S129" s="28"/>
      <c r="T129" s="29"/>
      <c r="U129" s="30"/>
    </row>
    <row r="130" spans="2:21" s="31" customFormat="1" ht="39">
      <c r="B130" s="24">
        <f>IF($C$12:C130&lt;&gt;"",COUNTA($C$12:C130),"")</f>
        <v>104</v>
      </c>
      <c r="C130" s="25" t="s">
        <v>1006</v>
      </c>
      <c r="D130" s="26"/>
      <c r="E130" s="26"/>
      <c r="F130" s="27" t="s">
        <v>554</v>
      </c>
      <c r="G130" s="28">
        <v>44946</v>
      </c>
      <c r="H130" s="29" t="s">
        <v>1023</v>
      </c>
      <c r="I130" s="30" t="s">
        <v>268</v>
      </c>
      <c r="J130" s="28"/>
      <c r="K130" s="29"/>
      <c r="L130" s="30"/>
      <c r="M130" s="28"/>
      <c r="N130" s="29"/>
      <c r="O130" s="30"/>
      <c r="P130" s="28"/>
      <c r="Q130" s="29"/>
      <c r="R130" s="30"/>
      <c r="S130" s="28"/>
      <c r="T130" s="29"/>
      <c r="U130" s="30"/>
    </row>
    <row r="131" spans="2:21" ht="27.5" customHeight="1">
      <c r="B131" s="172" t="s">
        <v>1073</v>
      </c>
      <c r="C131" s="173"/>
      <c r="D131" s="173"/>
      <c r="E131" s="173"/>
      <c r="F131" s="173"/>
      <c r="G131" s="23"/>
      <c r="H131" s="23"/>
      <c r="I131" s="23"/>
      <c r="J131" s="23"/>
      <c r="K131" s="23"/>
      <c r="L131" s="23"/>
      <c r="M131" s="23"/>
      <c r="N131" s="23"/>
      <c r="O131" s="23"/>
      <c r="P131" s="23"/>
      <c r="Q131" s="23"/>
      <c r="R131" s="23"/>
      <c r="S131" s="23"/>
      <c r="T131" s="23"/>
      <c r="U131" s="23"/>
    </row>
    <row r="132" spans="2:21" s="31" customFormat="1" ht="102.5" customHeight="1">
      <c r="B132" s="24">
        <f>IF($C$12:C132&lt;&gt;"",COUNTA($C$12:C132),"")</f>
        <v>105</v>
      </c>
      <c r="C132" s="25" t="s">
        <v>1019</v>
      </c>
      <c r="D132" s="26" t="s">
        <v>1017</v>
      </c>
      <c r="E132" s="26" t="s">
        <v>1018</v>
      </c>
      <c r="F132" s="27" t="s">
        <v>554</v>
      </c>
      <c r="G132" s="28">
        <v>44946</v>
      </c>
      <c r="H132" s="29" t="s">
        <v>1023</v>
      </c>
      <c r="I132" s="30" t="s">
        <v>268</v>
      </c>
      <c r="J132" s="28"/>
      <c r="K132" s="29"/>
      <c r="L132" s="30"/>
      <c r="M132" s="28"/>
      <c r="N132" s="29"/>
      <c r="O132" s="30"/>
      <c r="P132" s="28"/>
      <c r="Q132" s="29"/>
      <c r="R132" s="30"/>
      <c r="S132" s="28"/>
      <c r="T132" s="29"/>
      <c r="U132" s="30"/>
    </row>
    <row r="133" spans="2:21" s="31" customFormat="1" ht="117">
      <c r="B133" s="24">
        <f>IF($C$12:C133&lt;&gt;"",COUNTA($C$12:C133),"")</f>
        <v>106</v>
      </c>
      <c r="C133" s="25" t="s">
        <v>1020</v>
      </c>
      <c r="D133" s="26" t="s">
        <v>1021</v>
      </c>
      <c r="E133" s="26" t="s">
        <v>1022</v>
      </c>
      <c r="F133" s="27" t="s">
        <v>554</v>
      </c>
      <c r="G133" s="28">
        <v>44946</v>
      </c>
      <c r="H133" s="29" t="s">
        <v>1023</v>
      </c>
      <c r="I133" s="30" t="s">
        <v>268</v>
      </c>
      <c r="J133" s="28"/>
      <c r="K133" s="29"/>
      <c r="L133" s="30"/>
      <c r="M133" s="28"/>
      <c r="N133" s="29"/>
      <c r="O133" s="30"/>
      <c r="P133" s="28"/>
      <c r="Q133" s="29"/>
      <c r="R133" s="30"/>
      <c r="S133" s="28"/>
      <c r="T133" s="29"/>
      <c r="U133" s="30"/>
    </row>
    <row r="134" spans="2:21" s="31" customFormat="1">
      <c r="B134" s="24" t="str">
        <f>IF($C$12:C134&lt;&gt;"",COUNTA($C$12:C134),"")</f>
        <v/>
      </c>
      <c r="C134" s="25"/>
      <c r="D134" s="26"/>
      <c r="E134" s="26"/>
      <c r="F134" s="27"/>
      <c r="G134" s="28"/>
      <c r="H134" s="29"/>
      <c r="I134" s="30"/>
      <c r="J134" s="28"/>
      <c r="K134" s="29"/>
      <c r="L134" s="30"/>
      <c r="M134" s="28"/>
      <c r="N134" s="29"/>
      <c r="O134" s="30"/>
      <c r="P134" s="28"/>
      <c r="Q134" s="29"/>
      <c r="R134" s="30"/>
      <c r="S134" s="28"/>
      <c r="T134" s="29"/>
      <c r="U134" s="30"/>
    </row>
    <row r="135" spans="2:21" s="31" customFormat="1">
      <c r="B135" s="24" t="str">
        <f>IF($C$12:C135&lt;&gt;"",COUNTA($C$12:C135),"")</f>
        <v/>
      </c>
      <c r="C135" s="25"/>
      <c r="D135" s="26"/>
      <c r="E135" s="26"/>
      <c r="F135" s="27"/>
      <c r="G135" s="28"/>
      <c r="H135" s="29"/>
      <c r="I135" s="30"/>
      <c r="J135" s="28"/>
      <c r="K135" s="29"/>
      <c r="L135" s="30"/>
      <c r="M135" s="28"/>
      <c r="N135" s="29"/>
      <c r="O135" s="30"/>
      <c r="P135" s="28"/>
      <c r="Q135" s="29"/>
      <c r="R135" s="30"/>
      <c r="S135" s="28"/>
      <c r="T135" s="29"/>
      <c r="U135" s="30"/>
    </row>
    <row r="136" spans="2:21" s="31" customFormat="1">
      <c r="B136" s="24" t="str">
        <f>IF($C$12:C136&lt;&gt;"",COUNTA($C$12:C136),"")</f>
        <v/>
      </c>
      <c r="C136" s="25"/>
      <c r="D136" s="26"/>
      <c r="E136" s="26"/>
      <c r="F136" s="27"/>
      <c r="G136" s="28"/>
      <c r="H136" s="29"/>
      <c r="I136" s="30"/>
      <c r="J136" s="28"/>
      <c r="K136" s="29"/>
      <c r="L136" s="30"/>
      <c r="M136" s="28"/>
      <c r="N136" s="29"/>
      <c r="O136" s="30"/>
      <c r="P136" s="28"/>
      <c r="Q136" s="29"/>
      <c r="R136" s="30"/>
      <c r="S136" s="28"/>
      <c r="T136" s="29"/>
      <c r="U136" s="30"/>
    </row>
    <row r="137" spans="2:21" s="31" customFormat="1">
      <c r="B137" s="24" t="str">
        <f>IF($C$12:C137&lt;&gt;"",COUNTA($C$12:C137),"")</f>
        <v/>
      </c>
      <c r="C137" s="25"/>
      <c r="D137" s="26"/>
      <c r="E137" s="26"/>
      <c r="F137" s="27"/>
      <c r="G137" s="28"/>
      <c r="H137" s="29"/>
      <c r="I137" s="30"/>
      <c r="J137" s="28"/>
      <c r="K137" s="29"/>
      <c r="L137" s="30"/>
      <c r="M137" s="28"/>
      <c r="N137" s="29"/>
      <c r="O137" s="30"/>
      <c r="P137" s="28"/>
      <c r="Q137" s="29"/>
      <c r="R137" s="30"/>
      <c r="S137" s="28"/>
      <c r="T137" s="29"/>
      <c r="U137" s="30"/>
    </row>
  </sheetData>
  <autoFilter ref="B10:U137"/>
  <mergeCells count="16">
    <mergeCell ref="S9:U9"/>
    <mergeCell ref="G8:U8"/>
    <mergeCell ref="B131:F131"/>
    <mergeCell ref="B127:F127"/>
    <mergeCell ref="B24:F24"/>
    <mergeCell ref="B44:F44"/>
    <mergeCell ref="B63:F63"/>
    <mergeCell ref="B96:F96"/>
    <mergeCell ref="B104:F104"/>
    <mergeCell ref="B57:F57"/>
    <mergeCell ref="B11:F11"/>
    <mergeCell ref="C8:F9"/>
    <mergeCell ref="G9:I9"/>
    <mergeCell ref="J9:L9"/>
    <mergeCell ref="M9:O9"/>
    <mergeCell ref="P9:R9"/>
  </mergeCells>
  <phoneticPr fontId="11"/>
  <conditionalFormatting sqref="C12:D12 S12:U12 E133:F133 B126 B129 J126:L126 F47 S126:U126 F125:F126 F12:I12 C61 C47 C14 D106:E124 B105:C124 F105:U105 D129:E129 J129:U129 J133:U133 F106 J106:U106 F109:F113 J109:U113 F107:U108 F114:U124">
    <cfRule type="expression" dxfId="787" priority="819" stopIfTrue="1">
      <formula>IF($F12="低",1,0)</formula>
    </cfRule>
  </conditionalFormatting>
  <conditionalFormatting sqref="F12 F47 F105:F126 F133">
    <cfRule type="expression" dxfId="786" priority="818" stopIfTrue="1">
      <formula>IF($F12="高",1,0)</formula>
    </cfRule>
  </conditionalFormatting>
  <conditionalFormatting sqref="B133">
    <cfRule type="expression" dxfId="785" priority="817" stopIfTrue="1">
      <formula>IF($F133="低",1,0)</formula>
    </cfRule>
  </conditionalFormatting>
  <conditionalFormatting sqref="M12:O12">
    <cfRule type="expression" dxfId="784" priority="815" stopIfTrue="1">
      <formula>IF($F12="低",1,0)</formula>
    </cfRule>
  </conditionalFormatting>
  <conditionalFormatting sqref="P126:R126">
    <cfRule type="expression" dxfId="783" priority="812" stopIfTrue="1">
      <formula>IF($F126="低",1,0)</formula>
    </cfRule>
  </conditionalFormatting>
  <conditionalFormatting sqref="P12:R12">
    <cfRule type="expression" dxfId="782" priority="813" stopIfTrue="1">
      <formula>IF($F12="低",1,0)</formula>
    </cfRule>
  </conditionalFormatting>
  <conditionalFormatting sqref="B125 D125">
    <cfRule type="expression" dxfId="781" priority="810" stopIfTrue="1">
      <formula>IF($F125="低",1,0)</formula>
    </cfRule>
  </conditionalFormatting>
  <conditionalFormatting sqref="B47">
    <cfRule type="expression" dxfId="780" priority="806" stopIfTrue="1">
      <formula>IF($F47="低",1,0)</formula>
    </cfRule>
  </conditionalFormatting>
  <conditionalFormatting sqref="P47:R47">
    <cfRule type="expression" dxfId="779" priority="804" stopIfTrue="1">
      <formula>IF($F47="低",1,0)</formula>
    </cfRule>
  </conditionalFormatting>
  <conditionalFormatting sqref="P125:R125">
    <cfRule type="expression" dxfId="778" priority="808" stopIfTrue="1">
      <formula>IF($F125="低",1,0)</formula>
    </cfRule>
  </conditionalFormatting>
  <conditionalFormatting sqref="C125">
    <cfRule type="expression" dxfId="777" priority="680" stopIfTrue="1">
      <formula>IF($F125="低",1,0)</formula>
    </cfRule>
  </conditionalFormatting>
  <conditionalFormatting sqref="J47:L47 J125:L125">
    <cfRule type="expression" dxfId="776" priority="690" stopIfTrue="1">
      <formula>IF($F47="低",1,0)</formula>
    </cfRule>
  </conditionalFormatting>
  <conditionalFormatting sqref="S47:U47">
    <cfRule type="expression" dxfId="775" priority="686" stopIfTrue="1">
      <formula>IF($F47="低",1,0)</formula>
    </cfRule>
  </conditionalFormatting>
  <conditionalFormatting sqref="S125:U125">
    <cfRule type="expression" dxfId="774" priority="685" stopIfTrue="1">
      <formula>IF($F125="低",1,0)</formula>
    </cfRule>
  </conditionalFormatting>
  <conditionalFormatting sqref="D126">
    <cfRule type="expression" dxfId="773" priority="675" stopIfTrue="1">
      <formula>IF($F126="低",1,0)</formula>
    </cfRule>
  </conditionalFormatting>
  <conditionalFormatting sqref="E125">
    <cfRule type="expression" dxfId="772" priority="678" stopIfTrue="1">
      <formula>IF($F125="低",1,0)</formula>
    </cfRule>
  </conditionalFormatting>
  <conditionalFormatting sqref="E47">
    <cfRule type="expression" dxfId="771" priority="677" stopIfTrue="1">
      <formula>IF($F47="低",1,0)</formula>
    </cfRule>
  </conditionalFormatting>
  <conditionalFormatting sqref="C126">
    <cfRule type="expression" dxfId="770" priority="676" stopIfTrue="1">
      <formula>IF($F126="低",1,0)</formula>
    </cfRule>
  </conditionalFormatting>
  <conditionalFormatting sqref="E126">
    <cfRule type="expression" dxfId="769" priority="674" stopIfTrue="1">
      <formula>IF($F126="低",1,0)</formula>
    </cfRule>
  </conditionalFormatting>
  <conditionalFormatting sqref="B14">
    <cfRule type="expression" dxfId="768" priority="661" stopIfTrue="1">
      <formula>IF($F14="低",1,0)</formula>
    </cfRule>
  </conditionalFormatting>
  <conditionalFormatting sqref="P14:R14">
    <cfRule type="expression" dxfId="767" priority="659" stopIfTrue="1">
      <formula>IF($F14="低",1,0)</formula>
    </cfRule>
  </conditionalFormatting>
  <conditionalFormatting sqref="S14:U14">
    <cfRule type="expression" dxfId="766" priority="654" stopIfTrue="1">
      <formula>IF($F14="低",1,0)</formula>
    </cfRule>
  </conditionalFormatting>
  <conditionalFormatting sqref="G47:I47">
    <cfRule type="expression" dxfId="765" priority="526" stopIfTrue="1">
      <formula>IF($F47="低",1,0)</formula>
    </cfRule>
  </conditionalFormatting>
  <conditionalFormatting sqref="G125:I125">
    <cfRule type="expression" dxfId="764" priority="525" stopIfTrue="1">
      <formula>IF($F125="低",1,0)</formula>
    </cfRule>
  </conditionalFormatting>
  <conditionalFormatting sqref="G126:I126">
    <cfRule type="expression" dxfId="763" priority="524" stopIfTrue="1">
      <formula>IF($F126="低",1,0)</formula>
    </cfRule>
  </conditionalFormatting>
  <conditionalFormatting sqref="M14:O14">
    <cfRule type="expression" dxfId="762" priority="493" stopIfTrue="1">
      <formula>IF($F14="低",1,0)</formula>
    </cfRule>
  </conditionalFormatting>
  <conditionalFormatting sqref="M47:O47">
    <cfRule type="expression" dxfId="761" priority="492" stopIfTrue="1">
      <formula>IF($F47="低",1,0)</formula>
    </cfRule>
  </conditionalFormatting>
  <conditionalFormatting sqref="M125:O125">
    <cfRule type="expression" dxfId="760" priority="491" stopIfTrue="1">
      <formula>IF($F125="低",1,0)</formula>
    </cfRule>
  </conditionalFormatting>
  <conditionalFormatting sqref="M126:O126">
    <cfRule type="expression" dxfId="759" priority="490" stopIfTrue="1">
      <formula>IF($F126="低",1,0)</formula>
    </cfRule>
  </conditionalFormatting>
  <conditionalFormatting sqref="D61:D62 D64:D92 D97:D100 D95 D102:D103">
    <cfRule type="expression" dxfId="758" priority="451" stopIfTrue="1">
      <formula>IF($F61="低",1,0)</formula>
    </cfRule>
  </conditionalFormatting>
  <conditionalFormatting sqref="D60">
    <cfRule type="expression" dxfId="757" priority="411" stopIfTrue="1">
      <formula>IF($F60="低",1,0)</formula>
    </cfRule>
  </conditionalFormatting>
  <conditionalFormatting sqref="J12:L12">
    <cfRule type="expression" dxfId="756" priority="459" stopIfTrue="1">
      <formula>IF($F12="低",1,0)</formula>
    </cfRule>
  </conditionalFormatting>
  <conditionalFormatting sqref="J14:L14">
    <cfRule type="expression" dxfId="755" priority="458" stopIfTrue="1">
      <formula>IF($F14="低",1,0)</formula>
    </cfRule>
  </conditionalFormatting>
  <conditionalFormatting sqref="F61:F62 F64:F92 F97:F100 F95 F102:F103">
    <cfRule type="expression" dxfId="754" priority="457" stopIfTrue="1">
      <formula>IF($F61="低",1,0)</formula>
    </cfRule>
  </conditionalFormatting>
  <conditionalFormatting sqref="F61:F62 F64:F92 F97:F100 F95 F102:F103">
    <cfRule type="expression" dxfId="753" priority="456" stopIfTrue="1">
      <formula>IF($F61="高",1,0)</formula>
    </cfRule>
  </conditionalFormatting>
  <conditionalFormatting sqref="B61:B62 B64:B92 B97:B100 B95 B102:B103">
    <cfRule type="expression" dxfId="752" priority="455" stopIfTrue="1">
      <formula>IF($F61="低",1,0)</formula>
    </cfRule>
  </conditionalFormatting>
  <conditionalFormatting sqref="P61:R62 P64:R92 P97:R100 P95:R95 P102:R103">
    <cfRule type="expression" dxfId="751" priority="454" stopIfTrue="1">
      <formula>IF($F61="低",1,0)</formula>
    </cfRule>
  </conditionalFormatting>
  <conditionalFormatting sqref="J61:L62 J64:L92 J97:L100 J95:L95 J102:L103">
    <cfRule type="expression" dxfId="750" priority="453" stopIfTrue="1">
      <formula>IF($F61="低",1,0)</formula>
    </cfRule>
  </conditionalFormatting>
  <conditionalFormatting sqref="S61:U62 S64:U92 S97:U100 S95:U95 S102:U103">
    <cfRule type="expression" dxfId="749" priority="452" stopIfTrue="1">
      <formula>IF($F61="低",1,0)</formula>
    </cfRule>
  </conditionalFormatting>
  <conditionalFormatting sqref="C62 C64:C95 C97:C100 C103">
    <cfRule type="expression" dxfId="748" priority="450" stopIfTrue="1">
      <formula>IF($F62="低",1,0)</formula>
    </cfRule>
  </conditionalFormatting>
  <conditionalFormatting sqref="E61:E62 E64:E92 E97:E100 E95 E102:E103">
    <cfRule type="expression" dxfId="747" priority="449" stopIfTrue="1">
      <formula>IF($F61="低",1,0)</formula>
    </cfRule>
  </conditionalFormatting>
  <conditionalFormatting sqref="G95:I95 I65 G67:I67 G61:I62 G103:I103 G70:I82">
    <cfRule type="expression" dxfId="746" priority="448" stopIfTrue="1">
      <formula>IF($F61="低",1,0)</formula>
    </cfRule>
  </conditionalFormatting>
  <conditionalFormatting sqref="M61:O62 M64:O92 M97:O100 M95:O95 M102:O103">
    <cfRule type="expression" dxfId="745" priority="447" stopIfTrue="1">
      <formula>IF($F61="低",1,0)</formula>
    </cfRule>
  </conditionalFormatting>
  <conditionalFormatting sqref="E12">
    <cfRule type="expression" dxfId="744" priority="446" stopIfTrue="1">
      <formula>IF($F12="低",1,0)</formula>
    </cfRule>
  </conditionalFormatting>
  <conditionalFormatting sqref="D105:E105">
    <cfRule type="expression" dxfId="743" priority="445" stopIfTrue="1">
      <formula>IF($F105="低",1,0)</formula>
    </cfRule>
  </conditionalFormatting>
  <conditionalFormatting sqref="C58:D58 S58:U58 F60 F58:I58 C59:C60">
    <cfRule type="expression" dxfId="742" priority="419" stopIfTrue="1">
      <formula>IF($F58="低",1,0)</formula>
    </cfRule>
  </conditionalFormatting>
  <conditionalFormatting sqref="F58 F60">
    <cfRule type="expression" dxfId="741" priority="418" stopIfTrue="1">
      <formula>IF($F58="高",1,0)</formula>
    </cfRule>
  </conditionalFormatting>
  <conditionalFormatting sqref="M58:O58">
    <cfRule type="expression" dxfId="740" priority="417" stopIfTrue="1">
      <formula>IF($F58="低",1,0)</formula>
    </cfRule>
  </conditionalFormatting>
  <conditionalFormatting sqref="P58:R58">
    <cfRule type="expression" dxfId="739" priority="416" stopIfTrue="1">
      <formula>IF($F58="低",1,0)</formula>
    </cfRule>
  </conditionalFormatting>
  <conditionalFormatting sqref="B60">
    <cfRule type="expression" dxfId="738" priority="415" stopIfTrue="1">
      <formula>IF($F60="低",1,0)</formula>
    </cfRule>
  </conditionalFormatting>
  <conditionalFormatting sqref="P60:R60">
    <cfRule type="expression" dxfId="737" priority="414" stopIfTrue="1">
      <formula>IF($F60="低",1,0)</formula>
    </cfRule>
  </conditionalFormatting>
  <conditionalFormatting sqref="J60:L60">
    <cfRule type="expression" dxfId="736" priority="413" stopIfTrue="1">
      <formula>IF($F60="低",1,0)</formula>
    </cfRule>
  </conditionalFormatting>
  <conditionalFormatting sqref="S60:U60">
    <cfRule type="expression" dxfId="735" priority="412" stopIfTrue="1">
      <formula>IF($F60="低",1,0)</formula>
    </cfRule>
  </conditionalFormatting>
  <conditionalFormatting sqref="C16">
    <cfRule type="expression" dxfId="734" priority="379" stopIfTrue="1">
      <formula>IF($F16="低",1,0)</formula>
    </cfRule>
  </conditionalFormatting>
  <conditionalFormatting sqref="E60">
    <cfRule type="expression" dxfId="733" priority="410" stopIfTrue="1">
      <formula>IF($F60="低",1,0)</formula>
    </cfRule>
  </conditionalFormatting>
  <conditionalFormatting sqref="E59">
    <cfRule type="expression" dxfId="732" priority="404" stopIfTrue="1">
      <formula>IF($F59="低",1,0)</formula>
    </cfRule>
  </conditionalFormatting>
  <conditionalFormatting sqref="B59">
    <cfRule type="expression" dxfId="731" priority="409" stopIfTrue="1">
      <formula>IF($F59="低",1,0)</formula>
    </cfRule>
  </conditionalFormatting>
  <conditionalFormatting sqref="P59:R59">
    <cfRule type="expression" dxfId="730" priority="408" stopIfTrue="1">
      <formula>IF($F59="低",1,0)</formula>
    </cfRule>
  </conditionalFormatting>
  <conditionalFormatting sqref="F59">
    <cfRule type="expression" dxfId="729" priority="407" stopIfTrue="1">
      <formula>IF($F59="低",1,0)</formula>
    </cfRule>
  </conditionalFormatting>
  <conditionalFormatting sqref="F59">
    <cfRule type="expression" dxfId="728" priority="406" stopIfTrue="1">
      <formula>IF($F59="高",1,0)</formula>
    </cfRule>
  </conditionalFormatting>
  <conditionalFormatting sqref="S59:U59">
    <cfRule type="expression" dxfId="727" priority="405" stopIfTrue="1">
      <formula>IF($F59="低",1,0)</formula>
    </cfRule>
  </conditionalFormatting>
  <conditionalFormatting sqref="M59:O59">
    <cfRule type="expression" dxfId="726" priority="402" stopIfTrue="1">
      <formula>IF($F59="低",1,0)</formula>
    </cfRule>
  </conditionalFormatting>
  <conditionalFormatting sqref="M60:O60">
    <cfRule type="expression" dxfId="725" priority="401" stopIfTrue="1">
      <formula>IF($F60="低",1,0)</formula>
    </cfRule>
  </conditionalFormatting>
  <conditionalFormatting sqref="D59">
    <cfRule type="expression" dxfId="724" priority="400" stopIfTrue="1">
      <formula>IF($F59="低",1,0)</formula>
    </cfRule>
  </conditionalFormatting>
  <conditionalFormatting sqref="G59:I59">
    <cfRule type="expression" dxfId="723" priority="399" stopIfTrue="1">
      <formula>IF($F59="低",1,0)</formula>
    </cfRule>
  </conditionalFormatting>
  <conditionalFormatting sqref="J58:L58">
    <cfRule type="expression" dxfId="722" priority="398" stopIfTrue="1">
      <formula>IF($F58="低",1,0)</formula>
    </cfRule>
  </conditionalFormatting>
  <conditionalFormatting sqref="J59:L59">
    <cfRule type="expression" dxfId="721" priority="397" stopIfTrue="1">
      <formula>IF($F59="低",1,0)</formula>
    </cfRule>
  </conditionalFormatting>
  <conditionalFormatting sqref="E58">
    <cfRule type="expression" dxfId="720" priority="396" stopIfTrue="1">
      <formula>IF($F58="低",1,0)</formula>
    </cfRule>
  </conditionalFormatting>
  <conditionalFormatting sqref="B12">
    <cfRule type="expression" dxfId="719" priority="420" stopIfTrue="1">
      <formula>IF($F12="低",1,0)</formula>
    </cfRule>
  </conditionalFormatting>
  <conditionalFormatting sqref="M15:O21">
    <cfRule type="expression" dxfId="718" priority="387" stopIfTrue="1">
      <formula>IF($F15="低",1,0)</formula>
    </cfRule>
  </conditionalFormatting>
  <conditionalFormatting sqref="B58">
    <cfRule type="expression" dxfId="717" priority="395" stopIfTrue="1">
      <formula>IF($F58="低",1,0)</formula>
    </cfRule>
  </conditionalFormatting>
  <conditionalFormatting sqref="B15:B21">
    <cfRule type="expression" dxfId="716" priority="393" stopIfTrue="1">
      <formula>IF($F15="低",1,0)</formula>
    </cfRule>
  </conditionalFormatting>
  <conditionalFormatting sqref="P15:R21">
    <cfRule type="expression" dxfId="715" priority="392" stopIfTrue="1">
      <formula>IF($F15="低",1,0)</formula>
    </cfRule>
  </conditionalFormatting>
  <conditionalFormatting sqref="S15:U21">
    <cfRule type="expression" dxfId="714" priority="389" stopIfTrue="1">
      <formula>IF($F15="低",1,0)</formula>
    </cfRule>
  </conditionalFormatting>
  <conditionalFormatting sqref="C17">
    <cfRule type="expression" dxfId="713" priority="378" stopIfTrue="1">
      <formula>IF($F17="低",1,0)</formula>
    </cfRule>
  </conditionalFormatting>
  <conditionalFormatting sqref="P22:R23 P25:R25">
    <cfRule type="expression" dxfId="712" priority="372" stopIfTrue="1">
      <formula>IF($F22="低",1,0)</formula>
    </cfRule>
  </conditionalFormatting>
  <conditionalFormatting sqref="E15:E21">
    <cfRule type="expression" dxfId="711" priority="388" stopIfTrue="1">
      <formula>IF($F15="低",1,0)</formula>
    </cfRule>
  </conditionalFormatting>
  <conditionalFormatting sqref="D15:D21">
    <cfRule type="expression" dxfId="710" priority="386" stopIfTrue="1">
      <formula>IF($F15="低",1,0)</formula>
    </cfRule>
  </conditionalFormatting>
  <conditionalFormatting sqref="J15:L21">
    <cfRule type="expression" dxfId="709" priority="384" stopIfTrue="1">
      <formula>IF($F15="低",1,0)</formula>
    </cfRule>
  </conditionalFormatting>
  <conditionalFormatting sqref="E14">
    <cfRule type="expression" dxfId="708" priority="382" stopIfTrue="1">
      <formula>IF($F14="低",1,0)</formula>
    </cfRule>
  </conditionalFormatting>
  <conditionalFormatting sqref="D14">
    <cfRule type="expression" dxfId="707" priority="381" stopIfTrue="1">
      <formula>IF($F14="低",1,0)</formula>
    </cfRule>
  </conditionalFormatting>
  <conditionalFormatting sqref="C15">
    <cfRule type="expression" dxfId="706" priority="380" stopIfTrue="1">
      <formula>IF($F15="低",1,0)</formula>
    </cfRule>
  </conditionalFormatting>
  <conditionalFormatting sqref="C18">
    <cfRule type="expression" dxfId="705" priority="377" stopIfTrue="1">
      <formula>IF($F18="低",1,0)</formula>
    </cfRule>
  </conditionalFormatting>
  <conditionalFormatting sqref="C19">
    <cfRule type="expression" dxfId="704" priority="376" stopIfTrue="1">
      <formula>IF($F19="低",1,0)</formula>
    </cfRule>
  </conditionalFormatting>
  <conditionalFormatting sqref="C20">
    <cfRule type="expression" dxfId="703" priority="375" stopIfTrue="1">
      <formula>IF($F20="低",1,0)</formula>
    </cfRule>
  </conditionalFormatting>
  <conditionalFormatting sqref="B22:B23 B25">
    <cfRule type="expression" dxfId="702" priority="373" stopIfTrue="1">
      <formula>IF($F22="低",1,0)</formula>
    </cfRule>
  </conditionalFormatting>
  <conditionalFormatting sqref="J22:L23 J25:L25">
    <cfRule type="expression" dxfId="701" priority="364" stopIfTrue="1">
      <formula>IF($F22="低",1,0)</formula>
    </cfRule>
  </conditionalFormatting>
  <conditionalFormatting sqref="F23">
    <cfRule type="expression" dxfId="700" priority="371" stopIfTrue="1">
      <formula>IF($F23="低",1,0)</formula>
    </cfRule>
  </conditionalFormatting>
  <conditionalFormatting sqref="S22:U23 S25:U25">
    <cfRule type="expression" dxfId="699" priority="369" stopIfTrue="1">
      <formula>IF($F22="低",1,0)</formula>
    </cfRule>
  </conditionalFormatting>
  <conditionalFormatting sqref="E22:E23 E25">
    <cfRule type="expression" dxfId="698" priority="368" stopIfTrue="1">
      <formula>IF($F22="低",1,0)</formula>
    </cfRule>
  </conditionalFormatting>
  <conditionalFormatting sqref="M22:O23 M25:O25">
    <cfRule type="expression" dxfId="697" priority="367" stopIfTrue="1">
      <formula>IF($F22="低",1,0)</formula>
    </cfRule>
  </conditionalFormatting>
  <conditionalFormatting sqref="D22:D23 D25">
    <cfRule type="expression" dxfId="696" priority="366" stopIfTrue="1">
      <formula>IF($F22="低",1,0)</formula>
    </cfRule>
  </conditionalFormatting>
  <conditionalFormatting sqref="G23:I23">
    <cfRule type="expression" dxfId="695" priority="365" stopIfTrue="1">
      <formula>IF($F23="低",1,0)</formula>
    </cfRule>
  </conditionalFormatting>
  <conditionalFormatting sqref="C21">
    <cfRule type="expression" dxfId="694" priority="374" stopIfTrue="1">
      <formula>IF($F21="低",1,0)</formula>
    </cfRule>
  </conditionalFormatting>
  <conditionalFormatting sqref="F23">
    <cfRule type="expression" dxfId="693" priority="370" stopIfTrue="1">
      <formula>IF($F23="高",1,0)</formula>
    </cfRule>
  </conditionalFormatting>
  <conditionalFormatting sqref="C22:C23 C25">
    <cfRule type="expression" dxfId="692" priority="363" stopIfTrue="1">
      <formula>IF($F22="低",1,0)</formula>
    </cfRule>
  </conditionalFormatting>
  <conditionalFormatting sqref="P26:R28">
    <cfRule type="expression" dxfId="691" priority="361" stopIfTrue="1">
      <formula>IF($F26="低",1,0)</formula>
    </cfRule>
  </conditionalFormatting>
  <conditionalFormatting sqref="B26:B28">
    <cfRule type="expression" dxfId="690" priority="362" stopIfTrue="1">
      <formula>IF($F26="低",1,0)</formula>
    </cfRule>
  </conditionalFormatting>
  <conditionalFormatting sqref="J26:L28">
    <cfRule type="expression" dxfId="689" priority="353" stopIfTrue="1">
      <formula>IF($F26="低",1,0)</formula>
    </cfRule>
  </conditionalFormatting>
  <conditionalFormatting sqref="S26:U28">
    <cfRule type="expression" dxfId="688" priority="358" stopIfTrue="1">
      <formula>IF($F26="低",1,0)</formula>
    </cfRule>
  </conditionalFormatting>
  <conditionalFormatting sqref="E26:E28">
    <cfRule type="expression" dxfId="687" priority="357" stopIfTrue="1">
      <formula>IF($F26="低",1,0)</formula>
    </cfRule>
  </conditionalFormatting>
  <conditionalFormatting sqref="M26:O28">
    <cfRule type="expression" dxfId="686" priority="356" stopIfTrue="1">
      <formula>IF($F26="低",1,0)</formula>
    </cfRule>
  </conditionalFormatting>
  <conditionalFormatting sqref="C29">
    <cfRule type="expression" dxfId="685" priority="337" stopIfTrue="1">
      <formula>IF($F29="低",1,0)</formula>
    </cfRule>
  </conditionalFormatting>
  <conditionalFormatting sqref="C26">
    <cfRule type="expression" dxfId="684" priority="352" stopIfTrue="1">
      <formula>IF($F26="低",1,0)</formula>
    </cfRule>
  </conditionalFormatting>
  <conditionalFormatting sqref="D26">
    <cfRule type="expression" dxfId="683" priority="351" stopIfTrue="1">
      <formula>IF($F26="低",1,0)</formula>
    </cfRule>
  </conditionalFormatting>
  <conditionalFormatting sqref="D27">
    <cfRule type="expression" dxfId="682" priority="350" stopIfTrue="1">
      <formula>IF($F27="低",1,0)</formula>
    </cfRule>
  </conditionalFormatting>
  <conditionalFormatting sqref="D28">
    <cfRule type="expression" dxfId="681" priority="349" stopIfTrue="1">
      <formula>IF($F28="低",1,0)</formula>
    </cfRule>
  </conditionalFormatting>
  <conditionalFormatting sqref="P29:R31 P34:R35">
    <cfRule type="expression" dxfId="680" priority="347" stopIfTrue="1">
      <formula>IF($F29="低",1,0)</formula>
    </cfRule>
  </conditionalFormatting>
  <conditionalFormatting sqref="B29:B31 B34:B35">
    <cfRule type="expression" dxfId="679" priority="348" stopIfTrue="1">
      <formula>IF($F29="低",1,0)</formula>
    </cfRule>
  </conditionalFormatting>
  <conditionalFormatting sqref="J29:L31 J34:L35">
    <cfRule type="expression" dxfId="678" priority="340" stopIfTrue="1">
      <formula>IF($F29="低",1,0)</formula>
    </cfRule>
  </conditionalFormatting>
  <conditionalFormatting sqref="S29:U31 S34:U35">
    <cfRule type="expression" dxfId="677" priority="344" stopIfTrue="1">
      <formula>IF($F29="低",1,0)</formula>
    </cfRule>
  </conditionalFormatting>
  <conditionalFormatting sqref="E30:E31 E34:E35">
    <cfRule type="expression" dxfId="676" priority="343" stopIfTrue="1">
      <formula>IF($F30="低",1,0)</formula>
    </cfRule>
  </conditionalFormatting>
  <conditionalFormatting sqref="M29:O31 M34:O35">
    <cfRule type="expression" dxfId="675" priority="342" stopIfTrue="1">
      <formula>IF($F29="低",1,0)</formula>
    </cfRule>
  </conditionalFormatting>
  <conditionalFormatting sqref="C30:C31 C34:C35">
    <cfRule type="expression" dxfId="674" priority="339" stopIfTrue="1">
      <formula>IF($F30="低",1,0)</formula>
    </cfRule>
  </conditionalFormatting>
  <conditionalFormatting sqref="E29">
    <cfRule type="expression" dxfId="673" priority="335" stopIfTrue="1">
      <formula>IF($F29="低",1,0)</formula>
    </cfRule>
  </conditionalFormatting>
  <conditionalFormatting sqref="D29">
    <cfRule type="expression" dxfId="672" priority="336" stopIfTrue="1">
      <formula>IF($F29="低",1,0)</formula>
    </cfRule>
  </conditionalFormatting>
  <conditionalFormatting sqref="P40:R40 P42:R43 P45:R45">
    <cfRule type="expression" dxfId="671" priority="314" stopIfTrue="1">
      <formula>IF($F40="低",1,0)</formula>
    </cfRule>
  </conditionalFormatting>
  <conditionalFormatting sqref="D30">
    <cfRule type="expression" dxfId="670" priority="334" stopIfTrue="1">
      <formula>IF($F30="低",1,0)</formula>
    </cfRule>
  </conditionalFormatting>
  <conditionalFormatting sqref="C28">
    <cfRule type="expression" dxfId="669" priority="333" stopIfTrue="1">
      <formula>IF($F28="低",1,0)</formula>
    </cfRule>
  </conditionalFormatting>
  <conditionalFormatting sqref="C27">
    <cfRule type="expression" dxfId="668" priority="332" stopIfTrue="1">
      <formula>IF($F27="低",1,0)</formula>
    </cfRule>
  </conditionalFormatting>
  <conditionalFormatting sqref="D31">
    <cfRule type="expression" dxfId="667" priority="331" stopIfTrue="1">
      <formula>IF($F31="低",1,0)</formula>
    </cfRule>
  </conditionalFormatting>
  <conditionalFormatting sqref="D34">
    <cfRule type="expression" dxfId="666" priority="330" stopIfTrue="1">
      <formula>IF($F34="低",1,0)</formula>
    </cfRule>
  </conditionalFormatting>
  <conditionalFormatting sqref="P36:R39 P46:R46">
    <cfRule type="expression" dxfId="665" priority="328" stopIfTrue="1">
      <formula>IF($F36="低",1,0)</formula>
    </cfRule>
  </conditionalFormatting>
  <conditionalFormatting sqref="B36:B39 B46">
    <cfRule type="expression" dxfId="664" priority="329" stopIfTrue="1">
      <formula>IF($F36="低",1,0)</formula>
    </cfRule>
  </conditionalFormatting>
  <conditionalFormatting sqref="J36:L39 J46:L46">
    <cfRule type="expression" dxfId="663" priority="321" stopIfTrue="1">
      <formula>IF($F36="低",1,0)</formula>
    </cfRule>
  </conditionalFormatting>
  <conditionalFormatting sqref="F46">
    <cfRule type="expression" dxfId="662" priority="327" stopIfTrue="1">
      <formula>IF($F46="低",1,0)</formula>
    </cfRule>
  </conditionalFormatting>
  <conditionalFormatting sqref="S36:U39 S46:U46">
    <cfRule type="expression" dxfId="661" priority="325" stopIfTrue="1">
      <formula>IF($F36="低",1,0)</formula>
    </cfRule>
  </conditionalFormatting>
  <conditionalFormatting sqref="E36:E37 E46 E39">
    <cfRule type="expression" dxfId="660" priority="324" stopIfTrue="1">
      <formula>IF($F36="低",1,0)</formula>
    </cfRule>
  </conditionalFormatting>
  <conditionalFormatting sqref="M36:O39 M46:O46">
    <cfRule type="expression" dxfId="659" priority="323" stopIfTrue="1">
      <formula>IF($F36="低",1,0)</formula>
    </cfRule>
  </conditionalFormatting>
  <conditionalFormatting sqref="G46:I46">
    <cfRule type="expression" dxfId="658" priority="322" stopIfTrue="1">
      <formula>IF($F46="低",1,0)</formula>
    </cfRule>
  </conditionalFormatting>
  <conditionalFormatting sqref="F46">
    <cfRule type="expression" dxfId="657" priority="326" stopIfTrue="1">
      <formula>IF($F46="高",1,0)</formula>
    </cfRule>
  </conditionalFormatting>
  <conditionalFormatting sqref="C37">
    <cfRule type="expression" dxfId="656" priority="320" stopIfTrue="1">
      <formula>IF($F37="低",1,0)</formula>
    </cfRule>
  </conditionalFormatting>
  <conditionalFormatting sqref="D46">
    <cfRule type="expression" dxfId="655" priority="319" stopIfTrue="1">
      <formula>IF($F46="低",1,0)</formula>
    </cfRule>
  </conditionalFormatting>
  <conditionalFormatting sqref="D35">
    <cfRule type="expression" dxfId="654" priority="318" stopIfTrue="1">
      <formula>IF($F35="低",1,0)</formula>
    </cfRule>
  </conditionalFormatting>
  <conditionalFormatting sqref="C36">
    <cfRule type="expression" dxfId="653" priority="317" stopIfTrue="1">
      <formula>IF($F36="低",1,0)</formula>
    </cfRule>
  </conditionalFormatting>
  <conditionalFormatting sqref="D36">
    <cfRule type="expression" dxfId="652" priority="316" stopIfTrue="1">
      <formula>IF($F36="低",1,0)</formula>
    </cfRule>
  </conditionalFormatting>
  <conditionalFormatting sqref="D37">
    <cfRule type="expression" dxfId="651" priority="303" stopIfTrue="1">
      <formula>IF($F37="低",1,0)</formula>
    </cfRule>
  </conditionalFormatting>
  <conditionalFormatting sqref="B40 B42:B43 B45">
    <cfRule type="expression" dxfId="650" priority="315" stopIfTrue="1">
      <formula>IF($F40="低",1,0)</formula>
    </cfRule>
  </conditionalFormatting>
  <conditionalFormatting sqref="J40:L40 J42:L43 J45:L45">
    <cfRule type="expression" dxfId="649" priority="307" stopIfTrue="1">
      <formula>IF($F40="低",1,0)</formula>
    </cfRule>
  </conditionalFormatting>
  <conditionalFormatting sqref="F43 F45">
    <cfRule type="expression" dxfId="648" priority="313" stopIfTrue="1">
      <formula>IF($F43="低",1,0)</formula>
    </cfRule>
  </conditionalFormatting>
  <conditionalFormatting sqref="S40:U40 S42:U43 S45:U45">
    <cfRule type="expression" dxfId="647" priority="311" stopIfTrue="1">
      <formula>IF($F40="低",1,0)</formula>
    </cfRule>
  </conditionalFormatting>
  <conditionalFormatting sqref="E40 E42:E43 E45">
    <cfRule type="expression" dxfId="646" priority="310" stopIfTrue="1">
      <formula>IF($F40="低",1,0)</formula>
    </cfRule>
  </conditionalFormatting>
  <conditionalFormatting sqref="M40:O40 M42:O43 M45:O45">
    <cfRule type="expression" dxfId="645" priority="309" stopIfTrue="1">
      <formula>IF($F40="低",1,0)</formula>
    </cfRule>
  </conditionalFormatting>
  <conditionalFormatting sqref="G43:I43">
    <cfRule type="expression" dxfId="644" priority="308" stopIfTrue="1">
      <formula>IF($F43="低",1,0)</formula>
    </cfRule>
  </conditionalFormatting>
  <conditionalFormatting sqref="F43 F45">
    <cfRule type="expression" dxfId="643" priority="312" stopIfTrue="1">
      <formula>IF($F43="高",1,0)</formula>
    </cfRule>
  </conditionalFormatting>
  <conditionalFormatting sqref="C42:C43 C45">
    <cfRule type="expression" dxfId="642" priority="306" stopIfTrue="1">
      <formula>IF($F42="低",1,0)</formula>
    </cfRule>
  </conditionalFormatting>
  <conditionalFormatting sqref="D42:D43 D45">
    <cfRule type="expression" dxfId="641" priority="305" stopIfTrue="1">
      <formula>IF($F42="低",1,0)</formula>
    </cfRule>
  </conditionalFormatting>
  <conditionalFormatting sqref="D40">
    <cfRule type="expression" dxfId="640" priority="295" stopIfTrue="1">
      <formula>IF($F40="低",1,0)</formula>
    </cfRule>
  </conditionalFormatting>
  <conditionalFormatting sqref="E38">
    <cfRule type="expression" dxfId="639" priority="302" stopIfTrue="1">
      <formula>IF($F38="低",1,0)</formula>
    </cfRule>
  </conditionalFormatting>
  <conditionalFormatting sqref="C41">
    <cfRule type="expression" dxfId="638" priority="285" stopIfTrue="1">
      <formula>IF($F41="低",1,0)</formula>
    </cfRule>
  </conditionalFormatting>
  <conditionalFormatting sqref="C38">
    <cfRule type="expression" dxfId="637" priority="301" stopIfTrue="1">
      <formula>IF($F38="低",1,0)</formula>
    </cfRule>
  </conditionalFormatting>
  <conditionalFormatting sqref="D41">
    <cfRule type="expression" dxfId="636" priority="284" stopIfTrue="1">
      <formula>IF($F41="低",1,0)</formula>
    </cfRule>
  </conditionalFormatting>
  <conditionalFormatting sqref="D38">
    <cfRule type="expression" dxfId="635" priority="299" stopIfTrue="1">
      <formula>IF($F38="低",1,0)</formula>
    </cfRule>
  </conditionalFormatting>
  <conditionalFormatting sqref="D39">
    <cfRule type="expression" dxfId="634" priority="298" stopIfTrue="1">
      <formula>IF($F39="低",1,0)</formula>
    </cfRule>
  </conditionalFormatting>
  <conditionalFormatting sqref="C39">
    <cfRule type="expression" dxfId="633" priority="297" stopIfTrue="1">
      <formula>IF($F39="低",1,0)</formula>
    </cfRule>
  </conditionalFormatting>
  <conditionalFormatting sqref="C40">
    <cfRule type="expression" dxfId="632" priority="296" stopIfTrue="1">
      <formula>IF($F40="低",1,0)</formula>
    </cfRule>
  </conditionalFormatting>
  <conditionalFormatting sqref="C46">
    <cfRule type="expression" dxfId="631" priority="283" stopIfTrue="1">
      <formula>IF($F46="低",1,0)</formula>
    </cfRule>
  </conditionalFormatting>
  <conditionalFormatting sqref="P41:R41">
    <cfRule type="expression" dxfId="630" priority="293" stopIfTrue="1">
      <formula>IF($F41="低",1,0)</formula>
    </cfRule>
  </conditionalFormatting>
  <conditionalFormatting sqref="B41">
    <cfRule type="expression" dxfId="629" priority="294" stopIfTrue="1">
      <formula>IF($F41="低",1,0)</formula>
    </cfRule>
  </conditionalFormatting>
  <conditionalFormatting sqref="J41:L41">
    <cfRule type="expression" dxfId="628" priority="286" stopIfTrue="1">
      <formula>IF($F41="低",1,0)</formula>
    </cfRule>
  </conditionalFormatting>
  <conditionalFormatting sqref="S41:U41">
    <cfRule type="expression" dxfId="627" priority="290" stopIfTrue="1">
      <formula>IF($F41="低",1,0)</formula>
    </cfRule>
  </conditionalFormatting>
  <conditionalFormatting sqref="E41">
    <cfRule type="expression" dxfId="626" priority="289" stopIfTrue="1">
      <formula>IF($F41="低",1,0)</formula>
    </cfRule>
  </conditionalFormatting>
  <conditionalFormatting sqref="M41:O41">
    <cfRule type="expression" dxfId="625" priority="288" stopIfTrue="1">
      <formula>IF($F41="低",1,0)</formula>
    </cfRule>
  </conditionalFormatting>
  <conditionalFormatting sqref="C49">
    <cfRule type="expression" dxfId="624" priority="266" stopIfTrue="1">
      <formula>IF($F49="低",1,0)</formula>
    </cfRule>
  </conditionalFormatting>
  <conditionalFormatting sqref="D51">
    <cfRule type="expression" dxfId="623" priority="251" stopIfTrue="1">
      <formula>IF($F51="低",1,0)</formula>
    </cfRule>
  </conditionalFormatting>
  <conditionalFormatting sqref="D52">
    <cfRule type="expression" dxfId="622" priority="247" stopIfTrue="1">
      <formula>IF($F52="低",1,0)</formula>
    </cfRule>
  </conditionalFormatting>
  <conditionalFormatting sqref="F48:F49 C56 F52 F56">
    <cfRule type="expression" dxfId="621" priority="282" stopIfTrue="1">
      <formula>IF($F48="低",1,0)</formula>
    </cfRule>
  </conditionalFormatting>
  <conditionalFormatting sqref="F48:F49 F52 F56">
    <cfRule type="expression" dxfId="620" priority="281" stopIfTrue="1">
      <formula>IF($F48="高",1,0)</formula>
    </cfRule>
  </conditionalFormatting>
  <conditionalFormatting sqref="B48:B49 B52 B56">
    <cfRule type="expression" dxfId="619" priority="280" stopIfTrue="1">
      <formula>IF($F48="低",1,0)</formula>
    </cfRule>
  </conditionalFormatting>
  <conditionalFormatting sqref="P48:R49 P52:R52 P56:R56">
    <cfRule type="expression" dxfId="618" priority="279" stopIfTrue="1">
      <formula>IF($F48="低",1,0)</formula>
    </cfRule>
  </conditionalFormatting>
  <conditionalFormatting sqref="J48:L49 J52:L52 J56:L56">
    <cfRule type="expression" dxfId="617" priority="278" stopIfTrue="1">
      <formula>IF($F48="低",1,0)</formula>
    </cfRule>
  </conditionalFormatting>
  <conditionalFormatting sqref="S48:U49 S52:U52 S56:U56">
    <cfRule type="expression" dxfId="616" priority="277" stopIfTrue="1">
      <formula>IF($F48="低",1,0)</formula>
    </cfRule>
  </conditionalFormatting>
  <conditionalFormatting sqref="D56">
    <cfRule type="expression" dxfId="615" priority="276" stopIfTrue="1">
      <formula>IF($F56="低",1,0)</formula>
    </cfRule>
  </conditionalFormatting>
  <conditionalFormatting sqref="E56">
    <cfRule type="expression" dxfId="614" priority="275" stopIfTrue="1">
      <formula>IF($F56="低",1,0)</formula>
    </cfRule>
  </conditionalFormatting>
  <conditionalFormatting sqref="G52:I52 G56:I56 G48:I49">
    <cfRule type="expression" dxfId="613" priority="274" stopIfTrue="1">
      <formula>IF($F48="低",1,0)</formula>
    </cfRule>
  </conditionalFormatting>
  <conditionalFormatting sqref="M48:O49 M52:O52 M56:O56">
    <cfRule type="expression" dxfId="612" priority="273" stopIfTrue="1">
      <formula>IF($F48="低",1,0)</formula>
    </cfRule>
  </conditionalFormatting>
  <conditionalFormatting sqref="D47">
    <cfRule type="expression" dxfId="611" priority="272" stopIfTrue="1">
      <formula>IF($F47="低",1,0)</formula>
    </cfRule>
  </conditionalFormatting>
  <conditionalFormatting sqref="C48">
    <cfRule type="expression" dxfId="610" priority="271" stopIfTrue="1">
      <formula>IF($F48="低",1,0)</formula>
    </cfRule>
  </conditionalFormatting>
  <conditionalFormatting sqref="E48">
    <cfRule type="expression" dxfId="609" priority="270" stopIfTrue="1">
      <formula>IF($F48="低",1,0)</formula>
    </cfRule>
  </conditionalFormatting>
  <conditionalFormatting sqref="D48">
    <cfRule type="expression" dxfId="608" priority="269" stopIfTrue="1">
      <formula>IF($F48="低",1,0)</formula>
    </cfRule>
  </conditionalFormatting>
  <conditionalFormatting sqref="E49">
    <cfRule type="expression" dxfId="607" priority="268" stopIfTrue="1">
      <formula>IF($F49="低",1,0)</formula>
    </cfRule>
  </conditionalFormatting>
  <conditionalFormatting sqref="D49">
    <cfRule type="expression" dxfId="606" priority="267" stopIfTrue="1">
      <formula>IF($F49="低",1,0)</formula>
    </cfRule>
  </conditionalFormatting>
  <conditionalFormatting sqref="F50:F51">
    <cfRule type="expression" dxfId="605" priority="265" stopIfTrue="1">
      <formula>IF($F50="低",1,0)</formula>
    </cfRule>
  </conditionalFormatting>
  <conditionalFormatting sqref="F50:F51">
    <cfRule type="expression" dxfId="604" priority="264" stopIfTrue="1">
      <formula>IF($F50="高",1,0)</formula>
    </cfRule>
  </conditionalFormatting>
  <conditionalFormatting sqref="B50:B51">
    <cfRule type="expression" dxfId="603" priority="263" stopIfTrue="1">
      <formula>IF($F50="低",1,0)</formula>
    </cfRule>
  </conditionalFormatting>
  <conditionalFormatting sqref="P50:R51">
    <cfRule type="expression" dxfId="602" priority="262" stopIfTrue="1">
      <formula>IF($F50="低",1,0)</formula>
    </cfRule>
  </conditionalFormatting>
  <conditionalFormatting sqref="J50:L51">
    <cfRule type="expression" dxfId="601" priority="261" stopIfTrue="1">
      <formula>IF($F50="低",1,0)</formula>
    </cfRule>
  </conditionalFormatting>
  <conditionalFormatting sqref="S50:U51">
    <cfRule type="expression" dxfId="600" priority="260" stopIfTrue="1">
      <formula>IF($F50="低",1,0)</formula>
    </cfRule>
  </conditionalFormatting>
  <conditionalFormatting sqref="D50">
    <cfRule type="expression" dxfId="599" priority="254" stopIfTrue="1">
      <formula>IF($F50="低",1,0)</formula>
    </cfRule>
  </conditionalFormatting>
  <conditionalFormatting sqref="S13:U13">
    <cfRule type="expression" dxfId="598" priority="228" stopIfTrue="1">
      <formula>IF($F13="低",1,0)</formula>
    </cfRule>
  </conditionalFormatting>
  <conditionalFormatting sqref="C50">
    <cfRule type="expression" dxfId="597" priority="255" stopIfTrue="1">
      <formula>IF($F50="低",1,0)</formula>
    </cfRule>
  </conditionalFormatting>
  <conditionalFormatting sqref="M50:O51">
    <cfRule type="expression" dxfId="596" priority="256" stopIfTrue="1">
      <formula>IF($F50="低",1,0)</formula>
    </cfRule>
  </conditionalFormatting>
  <conditionalFormatting sqref="F14:F22">
    <cfRule type="expression" dxfId="595" priority="233" stopIfTrue="1">
      <formula>IF($F14="低",1,0)</formula>
    </cfRule>
  </conditionalFormatting>
  <conditionalFormatting sqref="E50">
    <cfRule type="expression" dxfId="594" priority="253" stopIfTrue="1">
      <formula>IF($F50="低",1,0)</formula>
    </cfRule>
  </conditionalFormatting>
  <conditionalFormatting sqref="C51">
    <cfRule type="expression" dxfId="593" priority="252" stopIfTrue="1">
      <formula>IF($F51="低",1,0)</formula>
    </cfRule>
  </conditionalFormatting>
  <conditionalFormatting sqref="E51">
    <cfRule type="expression" dxfId="592" priority="250" stopIfTrue="1">
      <formula>IF($F51="低",1,0)</formula>
    </cfRule>
  </conditionalFormatting>
  <conditionalFormatting sqref="E52">
    <cfRule type="expression" dxfId="591" priority="249" stopIfTrue="1">
      <formula>IF($F52="低",1,0)</formula>
    </cfRule>
  </conditionalFormatting>
  <conditionalFormatting sqref="C52">
    <cfRule type="expression" dxfId="590" priority="248" stopIfTrue="1">
      <formula>IF($F52="低",1,0)</formula>
    </cfRule>
  </conditionalFormatting>
  <conditionalFormatting sqref="F53">
    <cfRule type="expression" dxfId="589" priority="246" stopIfTrue="1">
      <formula>IF($F53="低",1,0)</formula>
    </cfRule>
  </conditionalFormatting>
  <conditionalFormatting sqref="F53">
    <cfRule type="expression" dxfId="588" priority="245" stopIfTrue="1">
      <formula>IF($F53="高",1,0)</formula>
    </cfRule>
  </conditionalFormatting>
  <conditionalFormatting sqref="B53">
    <cfRule type="expression" dxfId="587" priority="244" stopIfTrue="1">
      <formula>IF($F53="低",1,0)</formula>
    </cfRule>
  </conditionalFormatting>
  <conditionalFormatting sqref="P53:R53">
    <cfRule type="expression" dxfId="586" priority="243" stopIfTrue="1">
      <formula>IF($F53="低",1,0)</formula>
    </cfRule>
  </conditionalFormatting>
  <conditionalFormatting sqref="J53:L53">
    <cfRule type="expression" dxfId="585" priority="242" stopIfTrue="1">
      <formula>IF($F53="低",1,0)</formula>
    </cfRule>
  </conditionalFormatting>
  <conditionalFormatting sqref="S53:U53">
    <cfRule type="expression" dxfId="584" priority="241" stopIfTrue="1">
      <formula>IF($F53="低",1,0)</formula>
    </cfRule>
  </conditionalFormatting>
  <conditionalFormatting sqref="E53">
    <cfRule type="expression" dxfId="583" priority="236" stopIfTrue="1">
      <formula>IF($F53="低",1,0)</formula>
    </cfRule>
  </conditionalFormatting>
  <conditionalFormatting sqref="C53">
    <cfRule type="expression" dxfId="582" priority="234" stopIfTrue="1">
      <formula>IF($F53="低",1,0)</formula>
    </cfRule>
  </conditionalFormatting>
  <conditionalFormatting sqref="E93:E94">
    <cfRule type="expression" dxfId="581" priority="212" stopIfTrue="1">
      <formula>IF($F93="低",1,0)</formula>
    </cfRule>
  </conditionalFormatting>
  <conditionalFormatting sqref="M53:O53">
    <cfRule type="expression" dxfId="580" priority="237" stopIfTrue="1">
      <formula>IF($F53="低",1,0)</formula>
    </cfRule>
  </conditionalFormatting>
  <conditionalFormatting sqref="J13:L13">
    <cfRule type="expression" dxfId="579" priority="225" stopIfTrue="1">
      <formula>IF($F13="低",1,0)</formula>
    </cfRule>
  </conditionalFormatting>
  <conditionalFormatting sqref="D53">
    <cfRule type="expression" dxfId="578" priority="235" stopIfTrue="1">
      <formula>IF($F53="低",1,0)</formula>
    </cfRule>
  </conditionalFormatting>
  <conditionalFormatting sqref="D13">
    <cfRule type="expression" dxfId="577" priority="223" stopIfTrue="1">
      <formula>IF($F13="低",1,0)</formula>
    </cfRule>
  </conditionalFormatting>
  <conditionalFormatting sqref="F14:F22">
    <cfRule type="expression" dxfId="576" priority="232" stopIfTrue="1">
      <formula>IF($F14="高",1,0)</formula>
    </cfRule>
  </conditionalFormatting>
  <conditionalFormatting sqref="C13">
    <cfRule type="expression" dxfId="575" priority="231" stopIfTrue="1">
      <formula>IF($F13="低",1,0)</formula>
    </cfRule>
  </conditionalFormatting>
  <conditionalFormatting sqref="B13">
    <cfRule type="expression" dxfId="574" priority="230" stopIfTrue="1">
      <formula>IF($F13="低",1,0)</formula>
    </cfRule>
  </conditionalFormatting>
  <conditionalFormatting sqref="P13:R13">
    <cfRule type="expression" dxfId="573" priority="229" stopIfTrue="1">
      <formula>IF($F13="低",1,0)</formula>
    </cfRule>
  </conditionalFormatting>
  <conditionalFormatting sqref="M13:O13">
    <cfRule type="expression" dxfId="572" priority="227" stopIfTrue="1">
      <formula>IF($F13="低",1,0)</formula>
    </cfRule>
  </conditionalFormatting>
  <conditionalFormatting sqref="E13">
    <cfRule type="expression" dxfId="571" priority="224" stopIfTrue="1">
      <formula>IF($F13="低",1,0)</formula>
    </cfRule>
  </conditionalFormatting>
  <conditionalFormatting sqref="F13">
    <cfRule type="expression" dxfId="570" priority="222" stopIfTrue="1">
      <formula>IF($F13="低",1,0)</formula>
    </cfRule>
  </conditionalFormatting>
  <conditionalFormatting sqref="F13">
    <cfRule type="expression" dxfId="569" priority="221" stopIfTrue="1">
      <formula>IF($F13="高",1,0)</formula>
    </cfRule>
  </conditionalFormatting>
  <conditionalFormatting sqref="D93:D94">
    <cfRule type="expression" dxfId="568" priority="214" stopIfTrue="1">
      <formula>IF($F93="低",1,0)</formula>
    </cfRule>
  </conditionalFormatting>
  <conditionalFormatting sqref="F93:F94">
    <cfRule type="expression" dxfId="567" priority="220" stopIfTrue="1">
      <formula>IF($F93="低",1,0)</formula>
    </cfRule>
  </conditionalFormatting>
  <conditionalFormatting sqref="F93:F94">
    <cfRule type="expression" dxfId="566" priority="219" stopIfTrue="1">
      <formula>IF($F93="高",1,0)</formula>
    </cfRule>
  </conditionalFormatting>
  <conditionalFormatting sqref="B93:B94">
    <cfRule type="expression" dxfId="565" priority="218" stopIfTrue="1">
      <formula>IF($F93="低",1,0)</formula>
    </cfRule>
  </conditionalFormatting>
  <conditionalFormatting sqref="P93:R94">
    <cfRule type="expression" dxfId="564" priority="217" stopIfTrue="1">
      <formula>IF($F93="低",1,0)</formula>
    </cfRule>
  </conditionalFormatting>
  <conditionalFormatting sqref="J93:L94">
    <cfRule type="expression" dxfId="563" priority="216" stopIfTrue="1">
      <formula>IF($F93="低",1,0)</formula>
    </cfRule>
  </conditionalFormatting>
  <conditionalFormatting sqref="S93:U94">
    <cfRule type="expression" dxfId="562" priority="215" stopIfTrue="1">
      <formula>IF($F93="低",1,0)</formula>
    </cfRule>
  </conditionalFormatting>
  <conditionalFormatting sqref="F25:F31 F34:F42">
    <cfRule type="expression" dxfId="561" priority="209" stopIfTrue="1">
      <formula>IF($F25="低",1,0)</formula>
    </cfRule>
  </conditionalFormatting>
  <conditionalFormatting sqref="M93:O94">
    <cfRule type="expression" dxfId="560" priority="210" stopIfTrue="1">
      <formula>IF($F93="低",1,0)</formula>
    </cfRule>
  </conditionalFormatting>
  <conditionalFormatting sqref="F25:F31 F34:F42">
    <cfRule type="expression" dxfId="559" priority="208" stopIfTrue="1">
      <formula>IF($F25="高",1,0)</formula>
    </cfRule>
  </conditionalFormatting>
  <conditionalFormatting sqref="P33:R33">
    <cfRule type="expression" dxfId="558" priority="206" stopIfTrue="1">
      <formula>IF($F33="低",1,0)</formula>
    </cfRule>
  </conditionalFormatting>
  <conditionalFormatting sqref="B33">
    <cfRule type="expression" dxfId="557" priority="207" stopIfTrue="1">
      <formula>IF($F33="低",1,0)</formula>
    </cfRule>
  </conditionalFormatting>
  <conditionalFormatting sqref="J33:L33">
    <cfRule type="expression" dxfId="556" priority="201" stopIfTrue="1">
      <formula>IF($F33="低",1,0)</formula>
    </cfRule>
  </conditionalFormatting>
  <conditionalFormatting sqref="S33:U33">
    <cfRule type="expression" dxfId="555" priority="205" stopIfTrue="1">
      <formula>IF($F33="低",1,0)</formula>
    </cfRule>
  </conditionalFormatting>
  <conditionalFormatting sqref="E33">
    <cfRule type="expression" dxfId="554" priority="204" stopIfTrue="1">
      <formula>IF($F33="低",1,0)</formula>
    </cfRule>
  </conditionalFormatting>
  <conditionalFormatting sqref="M33:O33">
    <cfRule type="expression" dxfId="553" priority="203" stopIfTrue="1">
      <formula>IF($F33="低",1,0)</formula>
    </cfRule>
  </conditionalFormatting>
  <conditionalFormatting sqref="C33">
    <cfRule type="expression" dxfId="552" priority="200" stopIfTrue="1">
      <formula>IF($F33="低",1,0)</formula>
    </cfRule>
  </conditionalFormatting>
  <conditionalFormatting sqref="D33">
    <cfRule type="expression" dxfId="551" priority="199" stopIfTrue="1">
      <formula>IF($F33="低",1,0)</formula>
    </cfRule>
  </conditionalFormatting>
  <conditionalFormatting sqref="F33">
    <cfRule type="expression" dxfId="550" priority="198" stopIfTrue="1">
      <formula>IF($F33="低",1,0)</formula>
    </cfRule>
  </conditionalFormatting>
  <conditionalFormatting sqref="F33">
    <cfRule type="expression" dxfId="549" priority="197" stopIfTrue="1">
      <formula>IF($F33="高",1,0)</formula>
    </cfRule>
  </conditionalFormatting>
  <conditionalFormatting sqref="P32:R32">
    <cfRule type="expression" dxfId="548" priority="195" stopIfTrue="1">
      <formula>IF($F32="低",1,0)</formula>
    </cfRule>
  </conditionalFormatting>
  <conditionalFormatting sqref="B32">
    <cfRule type="expression" dxfId="547" priority="196" stopIfTrue="1">
      <formula>IF($F32="低",1,0)</formula>
    </cfRule>
  </conditionalFormatting>
  <conditionalFormatting sqref="J32:L32">
    <cfRule type="expression" dxfId="546" priority="190" stopIfTrue="1">
      <formula>IF($F32="低",1,0)</formula>
    </cfRule>
  </conditionalFormatting>
  <conditionalFormatting sqref="S32:U32">
    <cfRule type="expression" dxfId="545" priority="194" stopIfTrue="1">
      <formula>IF($F32="低",1,0)</formula>
    </cfRule>
  </conditionalFormatting>
  <conditionalFormatting sqref="E32">
    <cfRule type="expression" dxfId="544" priority="193" stopIfTrue="1">
      <formula>IF($F32="低",1,0)</formula>
    </cfRule>
  </conditionalFormatting>
  <conditionalFormatting sqref="M32:O32">
    <cfRule type="expression" dxfId="543" priority="192" stopIfTrue="1">
      <formula>IF($F32="低",1,0)</formula>
    </cfRule>
  </conditionalFormatting>
  <conditionalFormatting sqref="C32">
    <cfRule type="expression" dxfId="542" priority="189" stopIfTrue="1">
      <formula>IF($F32="低",1,0)</formula>
    </cfRule>
  </conditionalFormatting>
  <conditionalFormatting sqref="D32">
    <cfRule type="expression" dxfId="541" priority="188" stopIfTrue="1">
      <formula>IF($F32="低",1,0)</formula>
    </cfRule>
  </conditionalFormatting>
  <conditionalFormatting sqref="F32">
    <cfRule type="expression" dxfId="540" priority="187" stopIfTrue="1">
      <formula>IF($F32="低",1,0)</formula>
    </cfRule>
  </conditionalFormatting>
  <conditionalFormatting sqref="F32">
    <cfRule type="expression" dxfId="539" priority="186" stopIfTrue="1">
      <formula>IF($F32="高",1,0)</formula>
    </cfRule>
  </conditionalFormatting>
  <conditionalFormatting sqref="G13:I22">
    <cfRule type="expression" dxfId="538" priority="185" stopIfTrue="1">
      <formula>IF($F13="低",1,0)</formula>
    </cfRule>
  </conditionalFormatting>
  <conditionalFormatting sqref="G25:I25">
    <cfRule type="expression" dxfId="537" priority="184" stopIfTrue="1">
      <formula>IF($F25="低",1,0)</formula>
    </cfRule>
  </conditionalFormatting>
  <conditionalFormatting sqref="G26:I26">
    <cfRule type="expression" dxfId="536" priority="183" stopIfTrue="1">
      <formula>IF($F26="低",1,0)</formula>
    </cfRule>
  </conditionalFormatting>
  <conditionalFormatting sqref="G27:I27">
    <cfRule type="expression" dxfId="535" priority="182" stopIfTrue="1">
      <formula>IF($F27="低",1,0)</formula>
    </cfRule>
  </conditionalFormatting>
  <conditionalFormatting sqref="G28:I28">
    <cfRule type="expression" dxfId="534" priority="181" stopIfTrue="1">
      <formula>IF($F28="低",1,0)</formula>
    </cfRule>
  </conditionalFormatting>
  <conditionalFormatting sqref="G29:I29">
    <cfRule type="expression" dxfId="533" priority="180" stopIfTrue="1">
      <formula>IF($F29="低",1,0)</formula>
    </cfRule>
  </conditionalFormatting>
  <conditionalFormatting sqref="G30:I30">
    <cfRule type="expression" dxfId="532" priority="179" stopIfTrue="1">
      <formula>IF($F30="低",1,0)</formula>
    </cfRule>
  </conditionalFormatting>
  <conditionalFormatting sqref="G31:I31">
    <cfRule type="expression" dxfId="531" priority="178" stopIfTrue="1">
      <formula>IF($F31="低",1,0)</formula>
    </cfRule>
  </conditionalFormatting>
  <conditionalFormatting sqref="G32:I32">
    <cfRule type="expression" dxfId="530" priority="177" stopIfTrue="1">
      <formula>IF($F32="低",1,0)</formula>
    </cfRule>
  </conditionalFormatting>
  <conditionalFormatting sqref="G33:I33">
    <cfRule type="expression" dxfId="529" priority="176" stopIfTrue="1">
      <formula>IF($F33="低",1,0)</formula>
    </cfRule>
  </conditionalFormatting>
  <conditionalFormatting sqref="G42:I42">
    <cfRule type="expression" dxfId="528" priority="175" stopIfTrue="1">
      <formula>IF($F42="低",1,0)</formula>
    </cfRule>
  </conditionalFormatting>
  <conditionalFormatting sqref="G64:I64">
    <cfRule type="expression" dxfId="527" priority="174" stopIfTrue="1">
      <formula>IF($F64="低",1,0)</formula>
    </cfRule>
  </conditionalFormatting>
  <conditionalFormatting sqref="G34:I34">
    <cfRule type="expression" dxfId="526" priority="173" stopIfTrue="1">
      <formula>IF($F34="低",1,0)</formula>
    </cfRule>
  </conditionalFormatting>
  <conditionalFormatting sqref="G36:I36">
    <cfRule type="expression" dxfId="525" priority="172" stopIfTrue="1">
      <formula>IF($F36="低",1,0)</formula>
    </cfRule>
  </conditionalFormatting>
  <conditionalFormatting sqref="G35:I35">
    <cfRule type="expression" dxfId="524" priority="171" stopIfTrue="1">
      <formula>IF($F35="低",1,0)</formula>
    </cfRule>
  </conditionalFormatting>
  <conditionalFormatting sqref="G97:I97">
    <cfRule type="expression" dxfId="523" priority="170" stopIfTrue="1">
      <formula>IF($F97="低",1,0)</formula>
    </cfRule>
  </conditionalFormatting>
  <conditionalFormatting sqref="G37:I37">
    <cfRule type="expression" dxfId="522" priority="169" stopIfTrue="1">
      <formula>IF($F37="低",1,0)</formula>
    </cfRule>
  </conditionalFormatting>
  <conditionalFormatting sqref="G65:H65">
    <cfRule type="expression" dxfId="521" priority="168" stopIfTrue="1">
      <formula>IF($F65="低",1,0)</formula>
    </cfRule>
  </conditionalFormatting>
  <conditionalFormatting sqref="D128">
    <cfRule type="expression" dxfId="520" priority="161" stopIfTrue="1">
      <formula>IF($F128="低",1,0)</formula>
    </cfRule>
  </conditionalFormatting>
  <conditionalFormatting sqref="F128">
    <cfRule type="expression" dxfId="519" priority="167" stopIfTrue="1">
      <formula>IF($F128="低",1,0)</formula>
    </cfRule>
  </conditionalFormatting>
  <conditionalFormatting sqref="F128">
    <cfRule type="expression" dxfId="518" priority="166" stopIfTrue="1">
      <formula>IF($F128="高",1,0)</formula>
    </cfRule>
  </conditionalFormatting>
  <conditionalFormatting sqref="B128">
    <cfRule type="expression" dxfId="517" priority="165" stopIfTrue="1">
      <formula>IF($F128="低",1,0)</formula>
    </cfRule>
  </conditionalFormatting>
  <conditionalFormatting sqref="P128:R128">
    <cfRule type="expression" dxfId="516" priority="164" stopIfTrue="1">
      <formula>IF($F128="低",1,0)</formula>
    </cfRule>
  </conditionalFormatting>
  <conditionalFormatting sqref="J128:L128">
    <cfRule type="expression" dxfId="515" priority="163" stopIfTrue="1">
      <formula>IF($F128="低",1,0)</formula>
    </cfRule>
  </conditionalFormatting>
  <conditionalFormatting sqref="S128:U128">
    <cfRule type="expression" dxfId="514" priority="162" stopIfTrue="1">
      <formula>IF($F128="低",1,0)</formula>
    </cfRule>
  </conditionalFormatting>
  <conditionalFormatting sqref="C128:C130">
    <cfRule type="expression" dxfId="513" priority="160" stopIfTrue="1">
      <formula>IF($F128="低",1,0)</formula>
    </cfRule>
  </conditionalFormatting>
  <conditionalFormatting sqref="E128">
    <cfRule type="expression" dxfId="512" priority="159" stopIfTrue="1">
      <formula>IF($F128="低",1,0)</formula>
    </cfRule>
  </conditionalFormatting>
  <conditionalFormatting sqref="M128:O128">
    <cfRule type="expression" dxfId="511" priority="158" stopIfTrue="1">
      <formula>IF($F128="低",1,0)</formula>
    </cfRule>
  </conditionalFormatting>
  <conditionalFormatting sqref="B132:U132 B130 D130:E130 J130:U130">
    <cfRule type="expression" dxfId="510" priority="156" stopIfTrue="1">
      <formula>IF($F130="低",1,0)</formula>
    </cfRule>
  </conditionalFormatting>
  <conditionalFormatting sqref="F132">
    <cfRule type="expression" dxfId="509" priority="155" stopIfTrue="1">
      <formula>IF($F132="高",1,0)</formula>
    </cfRule>
  </conditionalFormatting>
  <conditionalFormatting sqref="F129:F130">
    <cfRule type="expression" dxfId="508" priority="154" stopIfTrue="1">
      <formula>IF($F129="低",1,0)</formula>
    </cfRule>
  </conditionalFormatting>
  <conditionalFormatting sqref="F129:F130">
    <cfRule type="expression" dxfId="507" priority="153" stopIfTrue="1">
      <formula>IF($F129="高",1,0)</formula>
    </cfRule>
  </conditionalFormatting>
  <conditionalFormatting sqref="H66:I66">
    <cfRule type="expression" dxfId="506" priority="152" stopIfTrue="1">
      <formula>IF($F66="低",1,0)</formula>
    </cfRule>
  </conditionalFormatting>
  <conditionalFormatting sqref="G66">
    <cfRule type="expression" dxfId="505" priority="151" stopIfTrue="1">
      <formula>IF($F66="低",1,0)</formula>
    </cfRule>
  </conditionalFormatting>
  <conditionalFormatting sqref="H68">
    <cfRule type="expression" dxfId="504" priority="150" stopIfTrue="1">
      <formula>IF($F68="低",1,0)</formula>
    </cfRule>
  </conditionalFormatting>
  <conditionalFormatting sqref="G68">
    <cfRule type="expression" dxfId="503" priority="149" stopIfTrue="1">
      <formula>IF($F68="低",1,0)</formula>
    </cfRule>
  </conditionalFormatting>
  <conditionalFormatting sqref="H69:I69">
    <cfRule type="expression" dxfId="502" priority="147" stopIfTrue="1">
      <formula>IF($F69="低",1,0)</formula>
    </cfRule>
  </conditionalFormatting>
  <conditionalFormatting sqref="G133:I133">
    <cfRule type="expression" dxfId="501" priority="139" stopIfTrue="1">
      <formula>IF($F133="低",1,0)</formula>
    </cfRule>
  </conditionalFormatting>
  <conditionalFormatting sqref="G69">
    <cfRule type="expression" dxfId="500" priority="146" stopIfTrue="1">
      <formula>IF($F69="低",1,0)</formula>
    </cfRule>
  </conditionalFormatting>
  <conditionalFormatting sqref="I68">
    <cfRule type="expression" dxfId="499" priority="145" stopIfTrue="1">
      <formula>IF($F68="低",1,0)</formula>
    </cfRule>
  </conditionalFormatting>
  <conditionalFormatting sqref="C134:U137">
    <cfRule type="expression" dxfId="498" priority="144" stopIfTrue="1">
      <formula>IF($F134="低",1,0)</formula>
    </cfRule>
  </conditionalFormatting>
  <conditionalFormatting sqref="F134:F137">
    <cfRule type="expression" dxfId="497" priority="143" stopIfTrue="1">
      <formula>IF($F134="高",1,0)</formula>
    </cfRule>
  </conditionalFormatting>
  <conditionalFormatting sqref="B134:B137">
    <cfRule type="expression" dxfId="496" priority="142" stopIfTrue="1">
      <formula>IF($F134="低",1,0)</formula>
    </cfRule>
  </conditionalFormatting>
  <conditionalFormatting sqref="C133">
    <cfRule type="expression" dxfId="495" priority="141" stopIfTrue="1">
      <formula>IF($F133="低",1,0)</formula>
    </cfRule>
  </conditionalFormatting>
  <conditionalFormatting sqref="D133">
    <cfRule type="expression" dxfId="494" priority="140" stopIfTrue="1">
      <formula>IF($F133="低",1,0)</formula>
    </cfRule>
  </conditionalFormatting>
  <conditionalFormatting sqref="G83:I94">
    <cfRule type="expression" dxfId="493" priority="138" stopIfTrue="1">
      <formula>IF($F83="低",1,0)</formula>
    </cfRule>
  </conditionalFormatting>
  <conditionalFormatting sqref="G128:I130">
    <cfRule type="expression" dxfId="492" priority="137" stopIfTrue="1">
      <formula>IF($F128="低",1,0)</formula>
    </cfRule>
  </conditionalFormatting>
  <conditionalFormatting sqref="G60:H60">
    <cfRule type="expression" dxfId="491" priority="136" stopIfTrue="1">
      <formula>IF($F60="低",1,0)</formula>
    </cfRule>
  </conditionalFormatting>
  <conditionalFormatting sqref="I60">
    <cfRule type="expression" dxfId="490" priority="135" stopIfTrue="1">
      <formula>IF($F60="低",1,0)</formula>
    </cfRule>
  </conditionalFormatting>
  <conditionalFormatting sqref="D101">
    <cfRule type="expression" dxfId="489" priority="128" stopIfTrue="1">
      <formula>IF($F101="低",1,0)</formula>
    </cfRule>
  </conditionalFormatting>
  <conditionalFormatting sqref="F101">
    <cfRule type="expression" dxfId="488" priority="134" stopIfTrue="1">
      <formula>IF($F101="低",1,0)</formula>
    </cfRule>
  </conditionalFormatting>
  <conditionalFormatting sqref="F101">
    <cfRule type="expression" dxfId="487" priority="133" stopIfTrue="1">
      <formula>IF($F101="高",1,0)</formula>
    </cfRule>
  </conditionalFormatting>
  <conditionalFormatting sqref="B101">
    <cfRule type="expression" dxfId="486" priority="132" stopIfTrue="1">
      <formula>IF($F101="低",1,0)</formula>
    </cfRule>
  </conditionalFormatting>
  <conditionalFormatting sqref="P101:R101">
    <cfRule type="expression" dxfId="485" priority="131" stopIfTrue="1">
      <formula>IF($F101="低",1,0)</formula>
    </cfRule>
  </conditionalFormatting>
  <conditionalFormatting sqref="J101:L101">
    <cfRule type="expression" dxfId="484" priority="130" stopIfTrue="1">
      <formula>IF($F101="低",1,0)</formula>
    </cfRule>
  </conditionalFormatting>
  <conditionalFormatting sqref="S101:U101">
    <cfRule type="expression" dxfId="483" priority="129" stopIfTrue="1">
      <formula>IF($F101="低",1,0)</formula>
    </cfRule>
  </conditionalFormatting>
  <conditionalFormatting sqref="C101:C102">
    <cfRule type="expression" dxfId="482" priority="127" stopIfTrue="1">
      <formula>IF($F101="低",1,0)</formula>
    </cfRule>
  </conditionalFormatting>
  <conditionalFormatting sqref="E101">
    <cfRule type="expression" dxfId="481" priority="126" stopIfTrue="1">
      <formula>IF($F101="低",1,0)</formula>
    </cfRule>
  </conditionalFormatting>
  <conditionalFormatting sqref="M101:O101">
    <cfRule type="expression" dxfId="480" priority="124" stopIfTrue="1">
      <formula>IF($F101="低",1,0)</formula>
    </cfRule>
  </conditionalFormatting>
  <conditionalFormatting sqref="G98:I101">
    <cfRule type="expression" dxfId="479" priority="123" stopIfTrue="1">
      <formula>IF($F98="低",1,0)</formula>
    </cfRule>
  </conditionalFormatting>
  <conditionalFormatting sqref="G102:I102">
    <cfRule type="expression" dxfId="478" priority="122" stopIfTrue="1">
      <formula>IF($F102="低",1,0)</formula>
    </cfRule>
  </conditionalFormatting>
  <conditionalFormatting sqref="G38:I38">
    <cfRule type="expression" dxfId="477" priority="121" stopIfTrue="1">
      <formula>IF($F38="低",1,0)</formula>
    </cfRule>
  </conditionalFormatting>
  <conditionalFormatting sqref="G39:I39">
    <cfRule type="expression" dxfId="476" priority="120" stopIfTrue="1">
      <formula>IF($F39="低",1,0)</formula>
    </cfRule>
  </conditionalFormatting>
  <conditionalFormatting sqref="G40:I40">
    <cfRule type="expression" dxfId="475" priority="119" stopIfTrue="1">
      <formula>IF($F40="低",1,0)</formula>
    </cfRule>
  </conditionalFormatting>
  <conditionalFormatting sqref="G41:I41">
    <cfRule type="expression" dxfId="474" priority="118" stopIfTrue="1">
      <formula>IF($F41="低",1,0)</formula>
    </cfRule>
  </conditionalFormatting>
  <conditionalFormatting sqref="G106:I106">
    <cfRule type="expression" dxfId="473" priority="117" stopIfTrue="1">
      <formula>IF($F106="低",1,0)</formula>
    </cfRule>
  </conditionalFormatting>
  <conditionalFormatting sqref="G109">
    <cfRule type="expression" dxfId="472" priority="116" stopIfTrue="1">
      <formula>IF($F109="低",1,0)</formula>
    </cfRule>
  </conditionalFormatting>
  <conditionalFormatting sqref="H109:I109">
    <cfRule type="expression" dxfId="471" priority="115" stopIfTrue="1">
      <formula>IF($F109="低",1,0)</formula>
    </cfRule>
  </conditionalFormatting>
  <conditionalFormatting sqref="G110">
    <cfRule type="expression" dxfId="470" priority="114" stopIfTrue="1">
      <formula>IF($F110="低",1,0)</formula>
    </cfRule>
  </conditionalFormatting>
  <conditionalFormatting sqref="H110:I110">
    <cfRule type="expression" dxfId="469" priority="113" stopIfTrue="1">
      <formula>IF($F110="低",1,0)</formula>
    </cfRule>
  </conditionalFormatting>
  <conditionalFormatting sqref="G111:G113">
    <cfRule type="expression" dxfId="468" priority="112" stopIfTrue="1">
      <formula>IF($F111="低",1,0)</formula>
    </cfRule>
  </conditionalFormatting>
  <conditionalFormatting sqref="H111:I113">
    <cfRule type="expression" dxfId="467" priority="111" stopIfTrue="1">
      <formula>IF($F111="低",1,0)</formula>
    </cfRule>
  </conditionalFormatting>
  <conditionalFormatting sqref="G45:I45">
    <cfRule type="expression" dxfId="466" priority="110" stopIfTrue="1">
      <formula>IF($F45="低",1,0)</formula>
    </cfRule>
  </conditionalFormatting>
  <conditionalFormatting sqref="G51:I51">
    <cfRule type="expression" dxfId="465" priority="108" stopIfTrue="1">
      <formula>IF($F51="低",1,0)</formula>
    </cfRule>
  </conditionalFormatting>
  <conditionalFormatting sqref="G53:I53">
    <cfRule type="expression" dxfId="464" priority="106" stopIfTrue="1">
      <formula>IF($F53="低",1,0)</formula>
    </cfRule>
  </conditionalFormatting>
  <conditionalFormatting sqref="D55">
    <cfRule type="expression" dxfId="463" priority="86" stopIfTrue="1">
      <formula>IF($F55="低",1,0)</formula>
    </cfRule>
  </conditionalFormatting>
  <conditionalFormatting sqref="G50:I50">
    <cfRule type="expression" dxfId="462" priority="107" stopIfTrue="1">
      <formula>IF($F50="低",1,0)</formula>
    </cfRule>
  </conditionalFormatting>
  <conditionalFormatting sqref="D54">
    <cfRule type="expression" dxfId="461" priority="95" stopIfTrue="1">
      <formula>IF($F54="低",1,0)</formula>
    </cfRule>
  </conditionalFormatting>
  <conditionalFormatting sqref="F54">
    <cfRule type="expression" dxfId="460" priority="105" stopIfTrue="1">
      <formula>IF($F54="低",1,0)</formula>
    </cfRule>
  </conditionalFormatting>
  <conditionalFormatting sqref="F54">
    <cfRule type="expression" dxfId="459" priority="104" stopIfTrue="1">
      <formula>IF($F54="高",1,0)</formula>
    </cfRule>
  </conditionalFormatting>
  <conditionalFormatting sqref="B54">
    <cfRule type="expression" dxfId="458" priority="103" stopIfTrue="1">
      <formula>IF($F54="低",1,0)</formula>
    </cfRule>
  </conditionalFormatting>
  <conditionalFormatting sqref="P54:R54">
    <cfRule type="expression" dxfId="457" priority="102" stopIfTrue="1">
      <formula>IF($F54="低",1,0)</formula>
    </cfRule>
  </conditionalFormatting>
  <conditionalFormatting sqref="J54:L54">
    <cfRule type="expression" dxfId="456" priority="101" stopIfTrue="1">
      <formula>IF($F54="低",1,0)</formula>
    </cfRule>
  </conditionalFormatting>
  <conditionalFormatting sqref="S54:U54">
    <cfRule type="expression" dxfId="455" priority="100" stopIfTrue="1">
      <formula>IF($F54="低",1,0)</formula>
    </cfRule>
  </conditionalFormatting>
  <conditionalFormatting sqref="M54:O54">
    <cfRule type="expression" dxfId="454" priority="98" stopIfTrue="1">
      <formula>IF($F54="低",1,0)</formula>
    </cfRule>
  </conditionalFormatting>
  <conditionalFormatting sqref="E54">
    <cfRule type="expression" dxfId="453" priority="97" stopIfTrue="1">
      <formula>IF($F54="低",1,0)</formula>
    </cfRule>
  </conditionalFormatting>
  <conditionalFormatting sqref="B55">
    <cfRule type="expression" dxfId="452" priority="92" stopIfTrue="1">
      <formula>IF($F55="低",1,0)</formula>
    </cfRule>
  </conditionalFormatting>
  <conditionalFormatting sqref="P55:R55">
    <cfRule type="expression" dxfId="451" priority="91" stopIfTrue="1">
      <formula>IF($F55="低",1,0)</formula>
    </cfRule>
  </conditionalFormatting>
  <conditionalFormatting sqref="J55:L55">
    <cfRule type="expression" dxfId="450" priority="90" stopIfTrue="1">
      <formula>IF($F55="低",1,0)</formula>
    </cfRule>
  </conditionalFormatting>
  <conditionalFormatting sqref="S55:U55">
    <cfRule type="expression" dxfId="449" priority="89" stopIfTrue="1">
      <formula>IF($F55="低",1,0)</formula>
    </cfRule>
  </conditionalFormatting>
  <conditionalFormatting sqref="E55">
    <cfRule type="expression" dxfId="448" priority="87" stopIfTrue="1">
      <formula>IF($F55="低",1,0)</formula>
    </cfRule>
  </conditionalFormatting>
  <conditionalFormatting sqref="M55:O55">
    <cfRule type="expression" dxfId="447" priority="88" stopIfTrue="1">
      <formula>IF($F55="低",1,0)</formula>
    </cfRule>
  </conditionalFormatting>
  <conditionalFormatting sqref="C54">
    <cfRule type="expression" dxfId="446" priority="72" stopIfTrue="1">
      <formula>IF($F54="低",1,0)</formula>
    </cfRule>
  </conditionalFormatting>
  <conditionalFormatting sqref="C55">
    <cfRule type="expression" dxfId="445" priority="71" stopIfTrue="1">
      <formula>IF($F55="低",1,0)</formula>
    </cfRule>
  </conditionalFormatting>
  <conditionalFormatting sqref="F55">
    <cfRule type="expression" dxfId="444" priority="70" stopIfTrue="1">
      <formula>IF($F55="低",1,0)</formula>
    </cfRule>
  </conditionalFormatting>
  <conditionalFormatting sqref="F55">
    <cfRule type="expression" dxfId="443" priority="69" stopIfTrue="1">
      <formula>IF($F55="高",1,0)</formula>
    </cfRule>
  </conditionalFormatting>
  <conditionalFormatting sqref="G54:I54">
    <cfRule type="expression" dxfId="442" priority="68" stopIfTrue="1">
      <formula>IF($F54="低",1,0)</formula>
    </cfRule>
  </conditionalFormatting>
  <conditionalFormatting sqref="G55:I55">
    <cfRule type="expression" dxfId="441" priority="67" stopIfTrue="1">
      <formula>IF($F55="低",1,0)</formula>
    </cfRule>
  </conditionalFormatting>
  <dataValidations count="1">
    <dataValidation type="list" allowBlank="1" showInputMessage="1" showErrorMessage="1" sqref="F45:F56 F97:F103 F25:F43 F58:F62 F64:F95 F12:F23 F105:F126 F128:F130 F132:F137">
      <formula1>"高,中,低"</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B1:V106"/>
  <sheetViews>
    <sheetView showGridLines="0" tabSelected="1" topLeftCell="A51" zoomScale="85" zoomScaleNormal="85" workbookViewId="0">
      <selection activeCell="G42" sqref="G42:G51"/>
    </sheetView>
  </sheetViews>
  <sheetFormatPr defaultColWidth="9" defaultRowHeight="13"/>
  <cols>
    <col min="1" max="1" width="3.453125" style="4" customWidth="1"/>
    <col min="2" max="2" width="10.90625" style="4" customWidth="1"/>
    <col min="3" max="3" width="30" style="4" customWidth="1"/>
    <col min="4" max="5" width="49.36328125" style="4" customWidth="1"/>
    <col min="6" max="6" width="6" style="4" customWidth="1"/>
    <col min="7" max="21" width="7.453125" style="5" customWidth="1"/>
    <col min="22" max="16384" width="9" style="4"/>
  </cols>
  <sheetData>
    <row r="1" spans="2:22" ht="13.5" thickBot="1">
      <c r="V1" s="6">
        <f>SUM(H4,K4,N4,Q4,T4)</f>
        <v>81</v>
      </c>
    </row>
    <row r="2" spans="2:22" ht="18.75" customHeight="1">
      <c r="B2" s="7" t="s">
        <v>10</v>
      </c>
      <c r="C2" s="8" t="s">
        <v>574</v>
      </c>
      <c r="D2" s="4" t="s">
        <v>19</v>
      </c>
      <c r="E2" s="9"/>
      <c r="J2" s="5" t="s">
        <v>42</v>
      </c>
      <c r="K2" s="5">
        <f>COUNTIF(J:J,"★")</f>
        <v>0</v>
      </c>
      <c r="M2" s="5" t="s">
        <v>42</v>
      </c>
      <c r="N2" s="5">
        <f>COUNTIF(M:M,"★")</f>
        <v>0</v>
      </c>
      <c r="S2" s="5" t="s">
        <v>42</v>
      </c>
      <c r="T2" s="5">
        <f>COUNTIF(S:S,"★")</f>
        <v>0</v>
      </c>
      <c r="V2" s="6">
        <f>SUM(H5,K5,N5,Q5,T5)</f>
        <v>0</v>
      </c>
    </row>
    <row r="3" spans="2:22" ht="18.75" customHeight="1">
      <c r="B3" s="11" t="s">
        <v>12</v>
      </c>
      <c r="C3" s="12" t="s">
        <v>17</v>
      </c>
      <c r="D3" s="4" t="s">
        <v>20</v>
      </c>
      <c r="J3" s="5" t="s">
        <v>43</v>
      </c>
      <c r="K3" s="13">
        <f>SUM($F$4:$F$6)-K2</f>
        <v>81</v>
      </c>
      <c r="M3" s="5" t="s">
        <v>43</v>
      </c>
      <c r="N3" s="13">
        <f>SUM($F$4:$F$6)-N2</f>
        <v>81</v>
      </c>
      <c r="S3" s="5" t="s">
        <v>43</v>
      </c>
      <c r="T3" s="13">
        <f>SUM($F$4:$F$6)-T2</f>
        <v>81</v>
      </c>
      <c r="V3" s="6">
        <f>SUM(H6,K6,N6,Q6,T6)</f>
        <v>0</v>
      </c>
    </row>
    <row r="4" spans="2:22" ht="18.75" customHeight="1">
      <c r="B4" s="11" t="s">
        <v>11</v>
      </c>
      <c r="C4" s="12" t="s">
        <v>55</v>
      </c>
      <c r="E4" s="14" t="s">
        <v>14</v>
      </c>
      <c r="F4" s="4">
        <f>COUNTIF($F$12:$F$251, "高")</f>
        <v>81</v>
      </c>
      <c r="H4" s="5">
        <f>COUNTIFS($F12:$F251,"高",I12:I251,"OK")+COUNTIFS($F12:$F251,"高",I12:I251,"NG→OK")</f>
        <v>81</v>
      </c>
      <c r="I4" s="5">
        <f>COUNTIFS($F12:$F251,"高",I12:I251,"NG")</f>
        <v>0</v>
      </c>
      <c r="K4" s="5">
        <f>COUNTIFS($F12:$F251,"高",L12:L251,"OK")</f>
        <v>0</v>
      </c>
      <c r="L4" s="5">
        <f>COUNTIFS($F12:$F251,"高",L12:L251,"NG")</f>
        <v>0</v>
      </c>
      <c r="N4" s="5">
        <f>COUNTIFS($F12:$F251,"高",O12:O251,"OK")+COUNTIFS($F12:$F251,"高",O12:O251,"NG→OK")</f>
        <v>0</v>
      </c>
      <c r="O4" s="5">
        <f>COUNTIFS($F12:$F251,"高",O12:O251,"NG")</f>
        <v>0</v>
      </c>
      <c r="P4" s="10"/>
      <c r="Q4" s="5">
        <f>COUNTIFS($F12:$F251,"高",R12:R251,"OK")</f>
        <v>0</v>
      </c>
      <c r="R4" s="5">
        <f>COUNTIFS($F12:$F251,"高",R12:R251,"NG")</f>
        <v>0</v>
      </c>
      <c r="T4" s="5">
        <f>COUNTIFS($F12:$F251,"高",U12:U251,"OK")</f>
        <v>0</v>
      </c>
      <c r="U4" s="5">
        <f>COUNTIFS($F12:$F251,"高",U12:U251,"NG")</f>
        <v>0</v>
      </c>
      <c r="V4" s="6">
        <f>SUM(I4,L4,O4,R4,U4)</f>
        <v>0</v>
      </c>
    </row>
    <row r="5" spans="2:22" ht="18.75" customHeight="1">
      <c r="B5" s="15" t="s">
        <v>8</v>
      </c>
      <c r="C5" s="16" t="s">
        <v>18</v>
      </c>
      <c r="D5" s="17" t="s">
        <v>33</v>
      </c>
      <c r="E5" s="14" t="s">
        <v>15</v>
      </c>
      <c r="F5" s="4">
        <f>COUNTIF($F$12:$F$251, "中")</f>
        <v>0</v>
      </c>
      <c r="H5" s="5">
        <f>COUNTIFS($F12:$F251,"中",I12:I251,"OK")</f>
        <v>0</v>
      </c>
      <c r="I5" s="5">
        <f>COUNTIFS($F12:$F251,"中",I12:I251,"NG")</f>
        <v>0</v>
      </c>
      <c r="K5" s="5">
        <f>COUNTIFS($F12:$F251,"中",L12:L251,"OK")</f>
        <v>0</v>
      </c>
      <c r="L5" s="5">
        <f>COUNTIFS($F12:$F251,"中",L12:L251,"NG")</f>
        <v>0</v>
      </c>
      <c r="N5" s="5">
        <f>COUNTIFS($F12:$F251,"中",O12:O251,"OK")+COUNTIFS($F12:$F251,"中",O12:O251,"NG→OK")</f>
        <v>0</v>
      </c>
      <c r="O5" s="5">
        <f>COUNTIFS($F12:$F251,"中",O12:O251,"NG")</f>
        <v>0</v>
      </c>
      <c r="P5" s="10"/>
      <c r="Q5" s="5">
        <f>COUNTIFS($F12:$F251,"中",R12:R251,"OK")</f>
        <v>0</v>
      </c>
      <c r="R5" s="5">
        <f>COUNTIFS($F12:$F251,"中",R12:R251,"NG")</f>
        <v>0</v>
      </c>
      <c r="T5" s="5">
        <f>COUNTIFS($F12:$F251,"中",U12:U251,"OK")</f>
        <v>0</v>
      </c>
      <c r="U5" s="5">
        <f>COUNTIFS($F12:$F251,"中",U12:U251,"NG")</f>
        <v>0</v>
      </c>
      <c r="V5" s="6">
        <f>SUM(I5,L5,O5,R5,U5)</f>
        <v>0</v>
      </c>
    </row>
    <row r="6" spans="2:22" ht="18.75" customHeight="1" thickBot="1">
      <c r="B6" s="18" t="s">
        <v>9</v>
      </c>
      <c r="C6" s="19">
        <v>44936</v>
      </c>
      <c r="D6" s="4" t="s">
        <v>45</v>
      </c>
      <c r="E6" s="14" t="s">
        <v>16</v>
      </c>
      <c r="F6" s="4">
        <f>COUNTIF($F$12:$F$251, "低")</f>
        <v>0</v>
      </c>
      <c r="H6" s="5">
        <f>COUNTIFS($F12:$F251,"低",I12:I251,"OK")</f>
        <v>0</v>
      </c>
      <c r="I6" s="5">
        <f>COUNTIFS($F12:$F251,"低",I12:I251,"NG")</f>
        <v>0</v>
      </c>
      <c r="K6" s="5">
        <f>COUNTIFS($F12:$F251,"低",L12:L251,"OK")</f>
        <v>0</v>
      </c>
      <c r="L6" s="5">
        <f>COUNTIFS($F12:$F251,"低",L12:L251,"NG")</f>
        <v>0</v>
      </c>
      <c r="N6" s="5">
        <f>COUNTIFS($F12:$F251,"低",O12:O251,"OK")</f>
        <v>0</v>
      </c>
      <c r="O6" s="5">
        <f>COUNTIFS($F12:$F251,"低",O12:O251,"NG")</f>
        <v>0</v>
      </c>
      <c r="P6" s="10"/>
      <c r="Q6" s="5">
        <f>COUNTIFS($F12:$F251,"低",R12:R251,"OK")</f>
        <v>0</v>
      </c>
      <c r="R6" s="5">
        <f>COUNTIFS($F12:$F251,"低",R12:R251,"NG")</f>
        <v>0</v>
      </c>
      <c r="T6" s="5">
        <f>COUNTIFS($F12:$F251,"低",U12:U251,"OK")</f>
        <v>0</v>
      </c>
      <c r="U6" s="5">
        <f>COUNTIFS($F12:$F251,"低",U12:U251,"NG")</f>
        <v>0</v>
      </c>
      <c r="V6" s="6">
        <f>SUM(I6,L6,O6,R6,U6)</f>
        <v>0</v>
      </c>
    </row>
    <row r="7" spans="2:22">
      <c r="D7" s="4" t="s">
        <v>32</v>
      </c>
    </row>
    <row r="8" spans="2:22" ht="20.25" customHeight="1">
      <c r="C8" s="177" t="s">
        <v>4</v>
      </c>
      <c r="D8" s="178"/>
      <c r="E8" s="178"/>
      <c r="F8" s="179"/>
      <c r="G8" s="186" t="s">
        <v>44</v>
      </c>
      <c r="H8" s="187"/>
      <c r="I8" s="187"/>
      <c r="J8" s="187"/>
      <c r="K8" s="187"/>
      <c r="L8" s="187"/>
      <c r="M8" s="187"/>
      <c r="N8" s="187"/>
      <c r="O8" s="187"/>
      <c r="P8" s="187"/>
      <c r="Q8" s="187"/>
      <c r="R8" s="187"/>
      <c r="S8" s="187"/>
      <c r="T8" s="187"/>
      <c r="U8" s="191"/>
    </row>
    <row r="9" spans="2:22" ht="20.25" customHeight="1">
      <c r="C9" s="180"/>
      <c r="D9" s="181"/>
      <c r="E9" s="181"/>
      <c r="F9" s="182"/>
      <c r="G9" s="188" t="s">
        <v>21</v>
      </c>
      <c r="H9" s="189"/>
      <c r="I9" s="190"/>
      <c r="J9" s="188" t="s">
        <v>22</v>
      </c>
      <c r="K9" s="189"/>
      <c r="L9" s="190"/>
      <c r="M9" s="188" t="s">
        <v>41</v>
      </c>
      <c r="N9" s="189"/>
      <c r="O9" s="190"/>
      <c r="P9" s="188" t="s">
        <v>46</v>
      </c>
      <c r="Q9" s="189"/>
      <c r="R9" s="190"/>
      <c r="S9" s="188" t="s">
        <v>47</v>
      </c>
      <c r="T9" s="189"/>
      <c r="U9" s="190"/>
    </row>
    <row r="10" spans="2:22" ht="26">
      <c r="B10" s="20" t="s">
        <v>2</v>
      </c>
      <c r="C10" s="21" t="s">
        <v>13</v>
      </c>
      <c r="D10" s="21" t="s">
        <v>0</v>
      </c>
      <c r="E10" s="21" t="s">
        <v>1</v>
      </c>
      <c r="F10" s="21" t="s">
        <v>3</v>
      </c>
      <c r="G10" s="22" t="s">
        <v>7</v>
      </c>
      <c r="H10" s="22" t="s">
        <v>5</v>
      </c>
      <c r="I10" s="22" t="s">
        <v>6</v>
      </c>
      <c r="J10" s="22" t="s">
        <v>7</v>
      </c>
      <c r="K10" s="22" t="s">
        <v>5</v>
      </c>
      <c r="L10" s="22" t="s">
        <v>6</v>
      </c>
      <c r="M10" s="22" t="s">
        <v>7</v>
      </c>
      <c r="N10" s="22" t="s">
        <v>5</v>
      </c>
      <c r="O10" s="22" t="s">
        <v>6</v>
      </c>
      <c r="P10" s="22" t="s">
        <v>7</v>
      </c>
      <c r="Q10" s="22" t="s">
        <v>5</v>
      </c>
      <c r="R10" s="22" t="s">
        <v>6</v>
      </c>
      <c r="S10" s="22" t="s">
        <v>7</v>
      </c>
      <c r="T10" s="22" t="s">
        <v>5</v>
      </c>
      <c r="U10" s="22" t="s">
        <v>6</v>
      </c>
    </row>
    <row r="11" spans="2:22" hidden="1">
      <c r="B11" s="172" t="s">
        <v>596</v>
      </c>
      <c r="C11" s="173"/>
      <c r="D11" s="173"/>
      <c r="E11" s="173"/>
      <c r="F11" s="173"/>
      <c r="G11" s="23"/>
      <c r="H11" s="23"/>
      <c r="I11" s="23"/>
      <c r="J11" s="23"/>
      <c r="K11" s="23"/>
      <c r="L11" s="23"/>
      <c r="M11" s="23"/>
      <c r="N11" s="23"/>
      <c r="O11" s="23"/>
      <c r="P11" s="23"/>
      <c r="Q11" s="23"/>
      <c r="R11" s="23"/>
      <c r="S11" s="23"/>
      <c r="T11" s="23"/>
      <c r="U11" s="23"/>
    </row>
    <row r="12" spans="2:22" s="31" customFormat="1" ht="34" hidden="1" customHeight="1">
      <c r="B12" s="24">
        <f>IF($C$12:C12&lt;&gt;"",COUNTA($C$12:C12),"")</f>
        <v>1</v>
      </c>
      <c r="C12" s="25" t="s">
        <v>583</v>
      </c>
      <c r="D12" s="26" t="s">
        <v>585</v>
      </c>
      <c r="E12" s="25" t="s">
        <v>658</v>
      </c>
      <c r="F12" s="27" t="s">
        <v>554</v>
      </c>
      <c r="G12" s="28">
        <v>44943</v>
      </c>
      <c r="H12" s="29" t="s">
        <v>984</v>
      </c>
      <c r="I12" s="30" t="s">
        <v>985</v>
      </c>
      <c r="J12" s="28"/>
      <c r="K12" s="29"/>
      <c r="L12" s="30"/>
      <c r="M12" s="28"/>
      <c r="N12" s="29"/>
      <c r="O12" s="30"/>
      <c r="P12" s="28"/>
      <c r="Q12" s="29"/>
      <c r="R12" s="30"/>
      <c r="S12" s="28"/>
      <c r="T12" s="29"/>
      <c r="U12" s="30"/>
    </row>
    <row r="13" spans="2:22" s="31" customFormat="1" hidden="1">
      <c r="B13" s="24">
        <f>IF($C$12:C13&lt;&gt;"",COUNTA($C$12:C13),"")</f>
        <v>2</v>
      </c>
      <c r="C13" s="25" t="s">
        <v>659</v>
      </c>
      <c r="D13" s="26"/>
      <c r="E13" s="25"/>
      <c r="F13" s="27" t="s">
        <v>554</v>
      </c>
      <c r="G13" s="28">
        <v>44943</v>
      </c>
      <c r="H13" s="29" t="s">
        <v>984</v>
      </c>
      <c r="I13" s="30" t="s">
        <v>985</v>
      </c>
      <c r="J13" s="28"/>
      <c r="K13" s="29"/>
      <c r="L13" s="30"/>
      <c r="M13" s="28"/>
      <c r="N13" s="29"/>
      <c r="O13" s="30"/>
      <c r="P13" s="28"/>
      <c r="Q13" s="29"/>
      <c r="R13" s="30"/>
      <c r="S13" s="28"/>
      <c r="T13" s="29"/>
      <c r="U13" s="30"/>
    </row>
    <row r="14" spans="2:22" s="31" customFormat="1" hidden="1">
      <c r="B14" s="24">
        <f>IF($C$12:C14&lt;&gt;"",COUNTA($C$12:C14),"")</f>
        <v>3</v>
      </c>
      <c r="C14" s="25" t="s">
        <v>584</v>
      </c>
      <c r="D14" s="26"/>
      <c r="E14" s="25"/>
      <c r="F14" s="27" t="s">
        <v>554</v>
      </c>
      <c r="G14" s="28">
        <v>44943</v>
      </c>
      <c r="H14" s="29" t="s">
        <v>984</v>
      </c>
      <c r="I14" s="30" t="s">
        <v>985</v>
      </c>
      <c r="J14" s="28"/>
      <c r="K14" s="29"/>
      <c r="L14" s="30"/>
      <c r="M14" s="28"/>
      <c r="N14" s="29"/>
      <c r="O14" s="30"/>
      <c r="P14" s="28"/>
      <c r="Q14" s="29"/>
      <c r="R14" s="30"/>
      <c r="S14" s="28"/>
      <c r="T14" s="29"/>
      <c r="U14" s="30"/>
    </row>
    <row r="15" spans="2:22" s="31" customFormat="1" hidden="1">
      <c r="B15" s="24">
        <f>IF($C$12:C15&lt;&gt;"",COUNTA($C$12:C15),"")</f>
        <v>4</v>
      </c>
      <c r="C15" s="25" t="s">
        <v>586</v>
      </c>
      <c r="D15" s="26"/>
      <c r="E15" s="26"/>
      <c r="F15" s="27" t="s">
        <v>554</v>
      </c>
      <c r="G15" s="28">
        <v>44943</v>
      </c>
      <c r="H15" s="29" t="s">
        <v>984</v>
      </c>
      <c r="I15" s="30" t="s">
        <v>985</v>
      </c>
      <c r="J15" s="28"/>
      <c r="K15" s="29"/>
      <c r="L15" s="30"/>
      <c r="M15" s="28"/>
      <c r="N15" s="29"/>
      <c r="O15" s="30"/>
      <c r="P15" s="28"/>
      <c r="Q15" s="29"/>
      <c r="R15" s="30"/>
      <c r="S15" s="28"/>
      <c r="T15" s="29"/>
      <c r="U15" s="30"/>
    </row>
    <row r="16" spans="2:22" s="31" customFormat="1" hidden="1">
      <c r="B16" s="24">
        <f>IF($C$12:C16&lt;&gt;"",COUNTA($C$12:C16),"")</f>
        <v>5</v>
      </c>
      <c r="C16" s="25" t="s">
        <v>587</v>
      </c>
      <c r="D16" s="26"/>
      <c r="E16" s="26"/>
      <c r="F16" s="27" t="s">
        <v>554</v>
      </c>
      <c r="G16" s="28">
        <v>44943</v>
      </c>
      <c r="H16" s="29" t="s">
        <v>984</v>
      </c>
      <c r="I16" s="30" t="s">
        <v>985</v>
      </c>
      <c r="J16" s="28"/>
      <c r="K16" s="29"/>
      <c r="L16" s="30"/>
      <c r="M16" s="28"/>
      <c r="N16" s="29"/>
      <c r="O16" s="30"/>
      <c r="P16" s="28"/>
      <c r="Q16" s="29"/>
      <c r="R16" s="30"/>
      <c r="S16" s="28"/>
      <c r="T16" s="29"/>
      <c r="U16" s="30"/>
    </row>
    <row r="17" spans="2:21" s="31" customFormat="1" hidden="1">
      <c r="B17" s="24">
        <f>IF($C$12:C17&lt;&gt;"",COUNTA($C$12:C17),"")</f>
        <v>6</v>
      </c>
      <c r="C17" s="25" t="s">
        <v>588</v>
      </c>
      <c r="D17" s="26"/>
      <c r="E17" s="26"/>
      <c r="F17" s="27" t="s">
        <v>554</v>
      </c>
      <c r="G17" s="28">
        <v>44943</v>
      </c>
      <c r="H17" s="29" t="s">
        <v>984</v>
      </c>
      <c r="I17" s="30" t="s">
        <v>985</v>
      </c>
      <c r="J17" s="28"/>
      <c r="K17" s="29"/>
      <c r="L17" s="30"/>
      <c r="M17" s="28"/>
      <c r="N17" s="29"/>
      <c r="O17" s="30"/>
      <c r="P17" s="28"/>
      <c r="Q17" s="29"/>
      <c r="R17" s="30"/>
      <c r="S17" s="28"/>
      <c r="T17" s="29"/>
      <c r="U17" s="30"/>
    </row>
    <row r="18" spans="2:21" s="31" customFormat="1" hidden="1">
      <c r="B18" s="24">
        <f>IF($C$12:C18&lt;&gt;"",COUNTA($C$12:C18),"")</f>
        <v>7</v>
      </c>
      <c r="C18" s="25" t="s">
        <v>589</v>
      </c>
      <c r="D18" s="26"/>
      <c r="E18" s="26"/>
      <c r="F18" s="27" t="s">
        <v>554</v>
      </c>
      <c r="G18" s="28">
        <v>44943</v>
      </c>
      <c r="H18" s="29" t="s">
        <v>984</v>
      </c>
      <c r="I18" s="30" t="s">
        <v>985</v>
      </c>
      <c r="J18" s="28"/>
      <c r="K18" s="29"/>
      <c r="L18" s="30"/>
      <c r="M18" s="28"/>
      <c r="N18" s="29"/>
      <c r="O18" s="30"/>
      <c r="P18" s="28"/>
      <c r="Q18" s="29"/>
      <c r="R18" s="30"/>
      <c r="S18" s="28"/>
      <c r="T18" s="29"/>
      <c r="U18" s="30"/>
    </row>
    <row r="19" spans="2:21" s="31" customFormat="1" hidden="1">
      <c r="B19" s="24">
        <f>IF($C$12:C19&lt;&gt;"",COUNTA($C$12:C19),"")</f>
        <v>8</v>
      </c>
      <c r="C19" s="25" t="s">
        <v>590</v>
      </c>
      <c r="D19" s="26"/>
      <c r="E19" s="26"/>
      <c r="F19" s="27" t="s">
        <v>554</v>
      </c>
      <c r="G19" s="28">
        <v>44943</v>
      </c>
      <c r="H19" s="29" t="s">
        <v>984</v>
      </c>
      <c r="I19" s="30" t="s">
        <v>985</v>
      </c>
      <c r="J19" s="28"/>
      <c r="K19" s="29"/>
      <c r="L19" s="30"/>
      <c r="M19" s="28"/>
      <c r="N19" s="29"/>
      <c r="O19" s="30"/>
      <c r="P19" s="28"/>
      <c r="Q19" s="29"/>
      <c r="R19" s="30"/>
      <c r="S19" s="28"/>
      <c r="T19" s="29"/>
      <c r="U19" s="30"/>
    </row>
    <row r="20" spans="2:21" s="31" customFormat="1" hidden="1">
      <c r="B20" s="24">
        <f>IF($C$12:C20&lt;&gt;"",COUNTA($C$12:C20),"")</f>
        <v>9</v>
      </c>
      <c r="C20" s="25" t="s">
        <v>592</v>
      </c>
      <c r="D20" s="26"/>
      <c r="E20" s="26"/>
      <c r="F20" s="27" t="s">
        <v>554</v>
      </c>
      <c r="G20" s="28">
        <v>44943</v>
      </c>
      <c r="H20" s="29" t="s">
        <v>984</v>
      </c>
      <c r="I20" s="30" t="s">
        <v>985</v>
      </c>
      <c r="J20" s="28"/>
      <c r="K20" s="29"/>
      <c r="L20" s="30"/>
      <c r="M20" s="28"/>
      <c r="N20" s="29"/>
      <c r="O20" s="30"/>
      <c r="P20" s="28"/>
      <c r="Q20" s="29"/>
      <c r="R20" s="30"/>
      <c r="S20" s="28"/>
      <c r="T20" s="29"/>
      <c r="U20" s="30"/>
    </row>
    <row r="21" spans="2:21" s="31" customFormat="1" hidden="1">
      <c r="B21" s="24">
        <f>IF($C$12:C21&lt;&gt;"",COUNTA($C$12:C21),"")</f>
        <v>10</v>
      </c>
      <c r="C21" s="25" t="s">
        <v>591</v>
      </c>
      <c r="D21" s="26"/>
      <c r="E21" s="26"/>
      <c r="F21" s="27" t="s">
        <v>554</v>
      </c>
      <c r="G21" s="28">
        <v>44943</v>
      </c>
      <c r="H21" s="29" t="s">
        <v>984</v>
      </c>
      <c r="I21" s="30" t="s">
        <v>985</v>
      </c>
      <c r="J21" s="28"/>
      <c r="K21" s="29"/>
      <c r="L21" s="30"/>
      <c r="M21" s="28"/>
      <c r="N21" s="29"/>
      <c r="O21" s="30"/>
      <c r="P21" s="28"/>
      <c r="Q21" s="29"/>
      <c r="R21" s="30"/>
      <c r="S21" s="28"/>
      <c r="T21" s="29"/>
      <c r="U21" s="30"/>
    </row>
    <row r="22" spans="2:21" s="31" customFormat="1" hidden="1">
      <c r="B22" s="24" t="str">
        <f>IF($C$12:C22&lt;&gt;"",COUNTA($C$12:C22),"")</f>
        <v/>
      </c>
      <c r="C22" s="25"/>
      <c r="D22" s="26"/>
      <c r="E22" s="26"/>
      <c r="F22" s="27"/>
      <c r="G22" s="28"/>
      <c r="H22" s="29"/>
      <c r="I22" s="30"/>
      <c r="J22" s="28"/>
      <c r="K22" s="29"/>
      <c r="L22" s="30"/>
      <c r="M22" s="28"/>
      <c r="N22" s="29"/>
      <c r="O22" s="30"/>
      <c r="P22" s="28"/>
      <c r="Q22" s="29"/>
      <c r="R22" s="30"/>
      <c r="S22" s="28"/>
      <c r="T22" s="29"/>
      <c r="U22" s="30"/>
    </row>
    <row r="23" spans="2:21" hidden="1">
      <c r="B23" s="172" t="s">
        <v>660</v>
      </c>
      <c r="C23" s="173"/>
      <c r="D23" s="173"/>
      <c r="E23" s="173"/>
      <c r="F23" s="173"/>
      <c r="G23" s="23"/>
      <c r="H23" s="23"/>
      <c r="I23" s="23"/>
      <c r="J23" s="23"/>
      <c r="K23" s="23"/>
      <c r="L23" s="23"/>
      <c r="M23" s="23"/>
      <c r="N23" s="23"/>
      <c r="O23" s="23"/>
      <c r="P23" s="23"/>
      <c r="Q23" s="23"/>
      <c r="R23" s="23"/>
      <c r="S23" s="23"/>
      <c r="T23" s="23"/>
      <c r="U23" s="23"/>
    </row>
    <row r="24" spans="2:21" s="31" customFormat="1" ht="39" hidden="1">
      <c r="B24" s="24">
        <f>IF($C$12:C24&lt;&gt;"",COUNTA($C$12:C24),"")</f>
        <v>11</v>
      </c>
      <c r="C24" s="25" t="s">
        <v>1080</v>
      </c>
      <c r="D24" s="26" t="s">
        <v>1081</v>
      </c>
      <c r="E24" s="26" t="s">
        <v>1082</v>
      </c>
      <c r="F24" s="27" t="s">
        <v>554</v>
      </c>
      <c r="G24" s="28">
        <v>44956</v>
      </c>
      <c r="H24" s="29" t="s">
        <v>1074</v>
      </c>
      <c r="I24" s="30" t="s">
        <v>268</v>
      </c>
      <c r="J24" s="28"/>
      <c r="K24" s="29"/>
      <c r="L24" s="30"/>
      <c r="M24" s="28"/>
      <c r="N24" s="29"/>
      <c r="O24" s="30"/>
      <c r="P24" s="28"/>
      <c r="Q24" s="29"/>
      <c r="R24" s="30"/>
      <c r="S24" s="28"/>
      <c r="T24" s="29"/>
      <c r="U24" s="30"/>
    </row>
    <row r="25" spans="2:21" s="31" customFormat="1" ht="78" hidden="1">
      <c r="B25" s="24">
        <f>IF($C$12:C25&lt;&gt;"",COUNTA($C$12:C25),"")</f>
        <v>12</v>
      </c>
      <c r="C25" s="25" t="s">
        <v>665</v>
      </c>
      <c r="D25" s="26" t="s">
        <v>667</v>
      </c>
      <c r="E25" s="26" t="s">
        <v>668</v>
      </c>
      <c r="F25" s="27" t="s">
        <v>554</v>
      </c>
      <c r="G25" s="28">
        <v>44956</v>
      </c>
      <c r="H25" s="29" t="s">
        <v>1074</v>
      </c>
      <c r="I25" s="30" t="s">
        <v>268</v>
      </c>
      <c r="J25" s="28"/>
      <c r="K25" s="29"/>
      <c r="L25" s="30"/>
      <c r="M25" s="28"/>
      <c r="N25" s="29"/>
      <c r="O25" s="30"/>
      <c r="P25" s="28"/>
      <c r="Q25" s="29"/>
      <c r="R25" s="30"/>
      <c r="S25" s="28"/>
      <c r="T25" s="29"/>
      <c r="U25" s="30"/>
    </row>
    <row r="26" spans="2:21" s="31" customFormat="1" ht="82.5" hidden="1" customHeight="1">
      <c r="B26" s="24">
        <f>IF($C$12:C26&lt;&gt;"",COUNTA($C$12:C26),"")</f>
        <v>13</v>
      </c>
      <c r="C26" s="25" t="s">
        <v>665</v>
      </c>
      <c r="D26" s="26" t="s">
        <v>669</v>
      </c>
      <c r="E26" s="26" t="s">
        <v>668</v>
      </c>
      <c r="F26" s="27" t="s">
        <v>554</v>
      </c>
      <c r="G26" s="28">
        <v>44957</v>
      </c>
      <c r="H26" s="29" t="s">
        <v>940</v>
      </c>
      <c r="I26" s="94" t="s">
        <v>1096</v>
      </c>
      <c r="J26" s="28"/>
      <c r="K26" s="29"/>
      <c r="L26" s="30"/>
      <c r="M26" s="28"/>
      <c r="N26" s="29"/>
      <c r="O26" s="30"/>
      <c r="P26" s="28"/>
      <c r="Q26" s="29"/>
      <c r="R26" s="30"/>
      <c r="S26" s="28"/>
      <c r="T26" s="29"/>
      <c r="U26" s="30"/>
    </row>
    <row r="27" spans="2:21" s="31" customFormat="1" ht="82.5" hidden="1" customHeight="1">
      <c r="B27" s="24">
        <f>IF($C$12:C27&lt;&gt;"",COUNTA($C$12:C27),"")</f>
        <v>14</v>
      </c>
      <c r="C27" s="25" t="s">
        <v>665</v>
      </c>
      <c r="D27" s="26" t="s">
        <v>1078</v>
      </c>
      <c r="E27" s="26" t="s">
        <v>1079</v>
      </c>
      <c r="F27" s="27" t="s">
        <v>554</v>
      </c>
      <c r="G27" s="28">
        <v>44956</v>
      </c>
      <c r="H27" s="29" t="s">
        <v>1074</v>
      </c>
      <c r="I27" s="30" t="s">
        <v>268</v>
      </c>
      <c r="J27" s="28"/>
      <c r="K27" s="29"/>
      <c r="L27" s="30"/>
      <c r="M27" s="28"/>
      <c r="N27" s="29"/>
      <c r="O27" s="30"/>
      <c r="P27" s="28"/>
      <c r="Q27" s="29"/>
      <c r="R27" s="30"/>
      <c r="S27" s="28"/>
      <c r="T27" s="29"/>
      <c r="U27" s="30"/>
    </row>
    <row r="28" spans="2:21" s="31" customFormat="1" ht="84.5" hidden="1" customHeight="1">
      <c r="B28" s="24">
        <f>IF($C$12:C28&lt;&gt;"",COUNTA($C$12:C28),"")</f>
        <v>15</v>
      </c>
      <c r="C28" s="25" t="s">
        <v>670</v>
      </c>
      <c r="D28" s="26" t="s">
        <v>680</v>
      </c>
      <c r="E28" s="26" t="s">
        <v>671</v>
      </c>
      <c r="F28" s="27" t="s">
        <v>554</v>
      </c>
      <c r="G28" s="28">
        <v>44956</v>
      </c>
      <c r="H28" s="29" t="s">
        <v>1074</v>
      </c>
      <c r="I28" s="30" t="s">
        <v>268</v>
      </c>
      <c r="J28" s="28"/>
      <c r="K28" s="29"/>
      <c r="L28" s="30"/>
      <c r="M28" s="28"/>
      <c r="N28" s="29"/>
      <c r="O28" s="30"/>
      <c r="P28" s="28"/>
      <c r="Q28" s="29"/>
      <c r="R28" s="30"/>
      <c r="S28" s="28"/>
      <c r="T28" s="29"/>
      <c r="U28" s="30"/>
    </row>
    <row r="29" spans="2:21" s="31" customFormat="1" ht="84.5" hidden="1" customHeight="1">
      <c r="B29" s="24">
        <f>IF($C$12:C29&lt;&gt;"",COUNTA($C$12:C29),"")</f>
        <v>16</v>
      </c>
      <c r="C29" s="25" t="s">
        <v>670</v>
      </c>
      <c r="D29" s="26" t="s">
        <v>681</v>
      </c>
      <c r="E29" s="26" t="s">
        <v>682</v>
      </c>
      <c r="F29" s="27" t="s">
        <v>554</v>
      </c>
      <c r="G29" s="28">
        <v>44956</v>
      </c>
      <c r="H29" s="29" t="s">
        <v>1074</v>
      </c>
      <c r="I29" s="30" t="s">
        <v>268</v>
      </c>
      <c r="J29" s="28"/>
      <c r="K29" s="29"/>
      <c r="L29" s="30"/>
      <c r="M29" s="28"/>
      <c r="N29" s="29"/>
      <c r="O29" s="30"/>
      <c r="P29" s="28"/>
      <c r="Q29" s="29"/>
      <c r="R29" s="30"/>
      <c r="S29" s="28"/>
      <c r="T29" s="29"/>
      <c r="U29" s="30"/>
    </row>
    <row r="30" spans="2:21" s="31" customFormat="1" ht="99.5" hidden="1" customHeight="1">
      <c r="B30" s="24">
        <f>IF($C$12:C30&lt;&gt;"",COUNTA($C$12:C30),"")</f>
        <v>17</v>
      </c>
      <c r="C30" s="25" t="s">
        <v>683</v>
      </c>
      <c r="D30" s="26" t="s">
        <v>684</v>
      </c>
      <c r="E30" s="26" t="s">
        <v>1090</v>
      </c>
      <c r="F30" s="27" t="s">
        <v>554</v>
      </c>
      <c r="G30" s="28">
        <v>44957</v>
      </c>
      <c r="H30" s="29" t="s">
        <v>940</v>
      </c>
      <c r="I30" s="30" t="s">
        <v>268</v>
      </c>
      <c r="J30" s="28"/>
      <c r="K30" s="29"/>
      <c r="L30" s="30"/>
      <c r="M30" s="28"/>
      <c r="N30" s="29"/>
      <c r="O30" s="30"/>
      <c r="P30" s="28"/>
      <c r="Q30" s="29"/>
      <c r="R30" s="30"/>
      <c r="S30" s="28"/>
      <c r="T30" s="29"/>
      <c r="U30" s="30"/>
    </row>
    <row r="31" spans="2:21" s="31" customFormat="1" ht="124" hidden="1" customHeight="1">
      <c r="B31" s="24">
        <f>IF($C$12:C31&lt;&gt;"",COUNTA($C$12:C31),"")</f>
        <v>18</v>
      </c>
      <c r="C31" s="25" t="s">
        <v>676</v>
      </c>
      <c r="D31" s="26" t="s">
        <v>674</v>
      </c>
      <c r="E31" s="26" t="s">
        <v>672</v>
      </c>
      <c r="F31" s="27" t="s">
        <v>554</v>
      </c>
      <c r="G31" s="28">
        <v>44957</v>
      </c>
      <c r="H31" s="29" t="s">
        <v>940</v>
      </c>
      <c r="I31" s="30" t="s">
        <v>268</v>
      </c>
      <c r="J31" s="28"/>
      <c r="K31" s="29"/>
      <c r="L31" s="30"/>
      <c r="M31" s="28"/>
      <c r="N31" s="29"/>
      <c r="O31" s="30"/>
      <c r="P31" s="28"/>
      <c r="Q31" s="29"/>
      <c r="R31" s="30"/>
      <c r="S31" s="28"/>
      <c r="T31" s="29"/>
      <c r="U31" s="30"/>
    </row>
    <row r="32" spans="2:21" s="31" customFormat="1" ht="159.5" hidden="1" customHeight="1">
      <c r="B32" s="24">
        <f>IF($C$12:C32&lt;&gt;"",COUNTA($C$12:C32),"")</f>
        <v>19</v>
      </c>
      <c r="C32" s="25" t="s">
        <v>677</v>
      </c>
      <c r="D32" s="26" t="s">
        <v>673</v>
      </c>
      <c r="E32" s="26" t="s">
        <v>1091</v>
      </c>
      <c r="F32" s="27" t="s">
        <v>554</v>
      </c>
      <c r="G32" s="28">
        <v>44957</v>
      </c>
      <c r="H32" s="29" t="s">
        <v>940</v>
      </c>
      <c r="I32" s="30" t="s">
        <v>268</v>
      </c>
      <c r="J32" s="28"/>
      <c r="K32" s="29"/>
      <c r="L32" s="30"/>
      <c r="M32" s="28"/>
      <c r="N32" s="29"/>
      <c r="O32" s="30"/>
      <c r="P32" s="28"/>
      <c r="Q32" s="29"/>
      <c r="R32" s="30"/>
      <c r="S32" s="28"/>
      <c r="T32" s="29"/>
      <c r="U32" s="30"/>
    </row>
    <row r="33" spans="2:21" s="31" customFormat="1" ht="45" hidden="1" customHeight="1">
      <c r="B33" s="24">
        <f>IF($C$12:C33&lt;&gt;"",COUNTA($C$12:C33),"")</f>
        <v>20</v>
      </c>
      <c r="C33" s="25" t="s">
        <v>675</v>
      </c>
      <c r="D33" s="26" t="s">
        <v>678</v>
      </c>
      <c r="E33" s="26" t="s">
        <v>679</v>
      </c>
      <c r="F33" s="27" t="s">
        <v>554</v>
      </c>
      <c r="G33" s="28">
        <v>44956</v>
      </c>
      <c r="H33" s="29" t="s">
        <v>1074</v>
      </c>
      <c r="I33" s="30" t="s">
        <v>268</v>
      </c>
      <c r="J33" s="28"/>
      <c r="K33" s="29"/>
      <c r="L33" s="30"/>
      <c r="M33" s="28"/>
      <c r="N33" s="29"/>
      <c r="O33" s="30"/>
      <c r="P33" s="28"/>
      <c r="Q33" s="29"/>
      <c r="R33" s="30"/>
      <c r="S33" s="28"/>
      <c r="T33" s="29"/>
      <c r="U33" s="30"/>
    </row>
    <row r="34" spans="2:21" s="31" customFormat="1" ht="81.5" hidden="1" customHeight="1">
      <c r="B34" s="24">
        <f>IF($C$12:C34&lt;&gt;"",COUNTA($C$12:C34),"")</f>
        <v>21</v>
      </c>
      <c r="C34" s="25" t="s">
        <v>685</v>
      </c>
      <c r="D34" s="26" t="s">
        <v>907</v>
      </c>
      <c r="E34" s="26" t="s">
        <v>686</v>
      </c>
      <c r="F34" s="27" t="s">
        <v>554</v>
      </c>
      <c r="G34" s="28">
        <v>44957</v>
      </c>
      <c r="H34" s="29" t="s">
        <v>940</v>
      </c>
      <c r="I34" s="30" t="s">
        <v>268</v>
      </c>
      <c r="J34" s="28"/>
      <c r="K34" s="29"/>
      <c r="L34" s="30"/>
      <c r="M34" s="28"/>
      <c r="N34" s="29"/>
      <c r="O34" s="30"/>
      <c r="P34" s="28"/>
      <c r="Q34" s="29"/>
      <c r="R34" s="30"/>
      <c r="S34" s="28"/>
      <c r="T34" s="29"/>
      <c r="U34" s="30"/>
    </row>
    <row r="35" spans="2:21" s="31" customFormat="1" ht="99.5" hidden="1" customHeight="1">
      <c r="B35" s="24">
        <f>IF($C$12:C35&lt;&gt;"",COUNTA($C$12:C35),"")</f>
        <v>22</v>
      </c>
      <c r="C35" s="25" t="s">
        <v>685</v>
      </c>
      <c r="D35" s="26" t="s">
        <v>687</v>
      </c>
      <c r="E35" s="26" t="s">
        <v>689</v>
      </c>
      <c r="F35" s="27" t="s">
        <v>554</v>
      </c>
      <c r="G35" s="28">
        <v>44958</v>
      </c>
      <c r="H35" s="29" t="s">
        <v>1097</v>
      </c>
      <c r="I35" s="30" t="s">
        <v>1100</v>
      </c>
      <c r="J35" s="28"/>
      <c r="K35" s="29"/>
      <c r="L35" s="30"/>
      <c r="M35" s="28"/>
      <c r="N35" s="29"/>
      <c r="O35" s="30"/>
      <c r="P35" s="28"/>
      <c r="Q35" s="29"/>
      <c r="R35" s="30"/>
      <c r="S35" s="28"/>
      <c r="T35" s="29"/>
      <c r="U35" s="30"/>
    </row>
    <row r="36" spans="2:21" s="31" customFormat="1" ht="55.5" hidden="1" customHeight="1">
      <c r="B36" s="24">
        <f>IF($C$12:C36&lt;&gt;"",COUNTA($C$12:C36),"")</f>
        <v>23</v>
      </c>
      <c r="C36" s="25" t="s">
        <v>685</v>
      </c>
      <c r="D36" s="26" t="s">
        <v>688</v>
      </c>
      <c r="E36" s="26" t="s">
        <v>690</v>
      </c>
      <c r="F36" s="27" t="s">
        <v>554</v>
      </c>
      <c r="G36" s="28">
        <v>44958</v>
      </c>
      <c r="H36" s="29" t="s">
        <v>1097</v>
      </c>
      <c r="I36" s="30" t="s">
        <v>1100</v>
      </c>
      <c r="J36" s="28"/>
      <c r="K36" s="29"/>
      <c r="L36" s="30"/>
      <c r="M36" s="28"/>
      <c r="N36" s="29"/>
      <c r="O36" s="30"/>
      <c r="P36" s="28"/>
      <c r="Q36" s="29"/>
      <c r="R36" s="30"/>
      <c r="S36" s="28"/>
      <c r="T36" s="29"/>
      <c r="U36" s="30"/>
    </row>
    <row r="37" spans="2:21" s="31" customFormat="1" ht="45.5" hidden="1" customHeight="1">
      <c r="B37" s="24">
        <f>IF($C$12:C37&lt;&gt;"",COUNTA($C$12:C37),"")</f>
        <v>24</v>
      </c>
      <c r="C37" s="25" t="s">
        <v>691</v>
      </c>
      <c r="D37" s="26" t="s">
        <v>692</v>
      </c>
      <c r="E37" s="26" t="s">
        <v>693</v>
      </c>
      <c r="F37" s="27" t="s">
        <v>554</v>
      </c>
      <c r="G37" s="28">
        <v>44958</v>
      </c>
      <c r="H37" s="29" t="s">
        <v>1097</v>
      </c>
      <c r="I37" s="30" t="s">
        <v>1100</v>
      </c>
      <c r="J37" s="28"/>
      <c r="K37" s="29"/>
      <c r="L37" s="30"/>
      <c r="M37" s="28"/>
      <c r="N37" s="29"/>
      <c r="O37" s="30"/>
      <c r="P37" s="28"/>
      <c r="Q37" s="29"/>
      <c r="R37" s="30"/>
      <c r="S37" s="28"/>
      <c r="T37" s="29"/>
      <c r="U37" s="30"/>
    </row>
    <row r="38" spans="2:21" s="31" customFormat="1" ht="30" hidden="1" customHeight="1">
      <c r="B38" s="24">
        <f>IF($C$12:C38&lt;&gt;"",COUNTA($C$12:C38),"")</f>
        <v>25</v>
      </c>
      <c r="C38" s="25" t="s">
        <v>694</v>
      </c>
      <c r="D38" s="26" t="s">
        <v>638</v>
      </c>
      <c r="E38" s="26" t="s">
        <v>639</v>
      </c>
      <c r="F38" s="27" t="s">
        <v>554</v>
      </c>
      <c r="G38" s="28">
        <v>44956</v>
      </c>
      <c r="H38" s="29" t="s">
        <v>1074</v>
      </c>
      <c r="I38" s="30" t="s">
        <v>268</v>
      </c>
      <c r="J38" s="28"/>
      <c r="K38" s="29"/>
      <c r="L38" s="30"/>
      <c r="M38" s="28"/>
      <c r="N38" s="29"/>
      <c r="O38" s="30"/>
      <c r="P38" s="28"/>
      <c r="Q38" s="29"/>
      <c r="R38" s="30"/>
      <c r="S38" s="28"/>
      <c r="T38" s="29"/>
      <c r="U38" s="30"/>
    </row>
    <row r="39" spans="2:21" s="31" customFormat="1" ht="45" hidden="1" customHeight="1">
      <c r="B39" s="24">
        <f>IF($C$12:C39&lt;&gt;"",COUNTA($C$12:C39),"")</f>
        <v>26</v>
      </c>
      <c r="C39" s="25" t="s">
        <v>634</v>
      </c>
      <c r="D39" s="26" t="s">
        <v>666</v>
      </c>
      <c r="E39" s="26" t="s">
        <v>636</v>
      </c>
      <c r="F39" s="27" t="s">
        <v>554</v>
      </c>
      <c r="G39" s="28">
        <v>44956</v>
      </c>
      <c r="H39" s="29" t="s">
        <v>1074</v>
      </c>
      <c r="I39" s="30" t="s">
        <v>268</v>
      </c>
      <c r="J39" s="28"/>
      <c r="K39" s="29"/>
      <c r="L39" s="30"/>
      <c r="M39" s="28"/>
      <c r="N39" s="29"/>
      <c r="O39" s="30"/>
      <c r="P39" s="28"/>
      <c r="Q39" s="29"/>
      <c r="R39" s="30"/>
      <c r="S39" s="28"/>
      <c r="T39" s="29"/>
      <c r="U39" s="30"/>
    </row>
    <row r="40" spans="2:21" s="31" customFormat="1" hidden="1">
      <c r="B40" s="24" t="str">
        <f>IF($C$12:C40&lt;&gt;"",COUNTA($C$12:C40),"")</f>
        <v/>
      </c>
      <c r="C40" s="25"/>
      <c r="D40" s="26"/>
      <c r="E40" s="26"/>
      <c r="F40" s="27"/>
      <c r="G40" s="28"/>
      <c r="H40" s="29"/>
      <c r="I40" s="30"/>
      <c r="J40" s="28"/>
      <c r="K40" s="29"/>
      <c r="L40" s="30"/>
      <c r="M40" s="28"/>
      <c r="N40" s="29"/>
      <c r="O40" s="30"/>
      <c r="P40" s="28"/>
      <c r="Q40" s="29"/>
      <c r="R40" s="30"/>
      <c r="S40" s="28"/>
      <c r="T40" s="29"/>
      <c r="U40" s="30"/>
    </row>
    <row r="41" spans="2:21" hidden="1">
      <c r="B41" s="172" t="s">
        <v>640</v>
      </c>
      <c r="C41" s="173"/>
      <c r="D41" s="173"/>
      <c r="E41" s="173"/>
      <c r="F41" s="173"/>
      <c r="G41" s="23"/>
      <c r="H41" s="23"/>
      <c r="I41" s="23"/>
      <c r="J41" s="23"/>
      <c r="K41" s="23"/>
      <c r="L41" s="23"/>
      <c r="M41" s="23"/>
      <c r="N41" s="23"/>
      <c r="O41" s="23"/>
      <c r="P41" s="23"/>
      <c r="Q41" s="23"/>
      <c r="R41" s="23"/>
      <c r="S41" s="23"/>
      <c r="T41" s="23"/>
      <c r="U41" s="23"/>
    </row>
    <row r="42" spans="2:21" s="31" customFormat="1" ht="71" customHeight="1">
      <c r="B42" s="24">
        <f>IF($C$12:C42&lt;&gt;"",COUNTA($C$12:C42),"")</f>
        <v>27</v>
      </c>
      <c r="C42" s="25" t="s">
        <v>695</v>
      </c>
      <c r="D42" s="26" t="s">
        <v>696</v>
      </c>
      <c r="E42" s="26" t="s">
        <v>1106</v>
      </c>
      <c r="F42" s="27" t="s">
        <v>554</v>
      </c>
      <c r="G42" s="28">
        <v>44959</v>
      </c>
      <c r="H42" s="29" t="s">
        <v>1107</v>
      </c>
      <c r="I42" s="94" t="s">
        <v>1096</v>
      </c>
      <c r="J42" s="28"/>
      <c r="K42" s="29"/>
      <c r="L42" s="30"/>
      <c r="M42" s="28"/>
      <c r="N42" s="29"/>
      <c r="O42" s="30"/>
      <c r="P42" s="28"/>
      <c r="Q42" s="29"/>
      <c r="R42" s="30"/>
      <c r="S42" s="28"/>
      <c r="T42" s="29"/>
      <c r="U42" s="30"/>
    </row>
    <row r="43" spans="2:21" s="31" customFormat="1" ht="65">
      <c r="B43" s="24">
        <f>IF($C$12:C43&lt;&gt;"",COUNTA($C$12:C43),"")</f>
        <v>28</v>
      </c>
      <c r="C43" s="25" t="s">
        <v>695</v>
      </c>
      <c r="D43" s="26" t="s">
        <v>699</v>
      </c>
      <c r="E43" s="26" t="s">
        <v>697</v>
      </c>
      <c r="F43" s="27" t="s">
        <v>554</v>
      </c>
      <c r="G43" s="28">
        <v>44959</v>
      </c>
      <c r="H43" s="29" t="s">
        <v>1107</v>
      </c>
      <c r="I43" s="30" t="s">
        <v>1104</v>
      </c>
      <c r="J43" s="28"/>
      <c r="K43" s="29"/>
      <c r="L43" s="30"/>
      <c r="M43" s="28"/>
      <c r="N43" s="29"/>
      <c r="O43" s="30"/>
      <c r="P43" s="28"/>
      <c r="Q43" s="29"/>
      <c r="R43" s="30"/>
      <c r="S43" s="28"/>
      <c r="T43" s="29"/>
      <c r="U43" s="30"/>
    </row>
    <row r="44" spans="2:21" s="31" customFormat="1" ht="86" customHeight="1">
      <c r="B44" s="24">
        <f>IF($C$12:C44&lt;&gt;"",COUNTA($C$12:C44),"")</f>
        <v>29</v>
      </c>
      <c r="C44" s="25" t="s">
        <v>698</v>
      </c>
      <c r="D44" s="26" t="s">
        <v>908</v>
      </c>
      <c r="E44" s="26" t="s">
        <v>1113</v>
      </c>
      <c r="F44" s="27" t="s">
        <v>554</v>
      </c>
      <c r="G44" s="28">
        <v>44959</v>
      </c>
      <c r="H44" s="29" t="s">
        <v>1107</v>
      </c>
      <c r="I44" s="94" t="s">
        <v>1096</v>
      </c>
      <c r="J44" s="28"/>
      <c r="K44" s="29"/>
      <c r="L44" s="30"/>
      <c r="M44" s="28"/>
      <c r="N44" s="29"/>
      <c r="O44" s="30"/>
      <c r="P44" s="28"/>
      <c r="Q44" s="29"/>
      <c r="R44" s="30"/>
      <c r="S44" s="28"/>
      <c r="T44" s="29"/>
      <c r="U44" s="30"/>
    </row>
    <row r="45" spans="2:21" s="31" customFormat="1" ht="87.5" customHeight="1">
      <c r="B45" s="24">
        <f>IF($C$12:C45&lt;&gt;"",COUNTA($C$12:C45),"")</f>
        <v>30</v>
      </c>
      <c r="C45" s="25" t="s">
        <v>698</v>
      </c>
      <c r="D45" s="26" t="s">
        <v>909</v>
      </c>
      <c r="E45" s="26" t="s">
        <v>1112</v>
      </c>
      <c r="F45" s="27" t="s">
        <v>554</v>
      </c>
      <c r="G45" s="28">
        <v>44959</v>
      </c>
      <c r="H45" s="29" t="s">
        <v>1107</v>
      </c>
      <c r="I45" s="30" t="s">
        <v>1104</v>
      </c>
      <c r="J45" s="28"/>
      <c r="K45" s="29"/>
      <c r="L45" s="30"/>
      <c r="M45" s="28"/>
      <c r="N45" s="29"/>
      <c r="O45" s="30"/>
      <c r="P45" s="28"/>
      <c r="Q45" s="29"/>
      <c r="R45" s="30"/>
      <c r="S45" s="28"/>
      <c r="T45" s="29"/>
      <c r="U45" s="30"/>
    </row>
    <row r="46" spans="2:21" s="31" customFormat="1" ht="84.5" customHeight="1">
      <c r="B46" s="24">
        <f>IF($C$12:C46&lt;&gt;"",COUNTA($C$12:C46),"")</f>
        <v>31</v>
      </c>
      <c r="C46" s="25" t="s">
        <v>700</v>
      </c>
      <c r="D46" s="26" t="s">
        <v>910</v>
      </c>
      <c r="E46" s="26" t="s">
        <v>1111</v>
      </c>
      <c r="F46" s="27" t="s">
        <v>554</v>
      </c>
      <c r="G46" s="28">
        <v>44959</v>
      </c>
      <c r="H46" s="29" t="s">
        <v>1107</v>
      </c>
      <c r="I46" s="30" t="s">
        <v>1104</v>
      </c>
      <c r="J46" s="28"/>
      <c r="K46" s="29"/>
      <c r="L46" s="30"/>
      <c r="M46" s="28"/>
      <c r="N46" s="29"/>
      <c r="O46" s="30"/>
      <c r="P46" s="28"/>
      <c r="Q46" s="29"/>
      <c r="R46" s="30"/>
      <c r="S46" s="28"/>
      <c r="T46" s="29"/>
      <c r="U46" s="30"/>
    </row>
    <row r="47" spans="2:21" s="31" customFormat="1" ht="91">
      <c r="B47" s="24">
        <f>IF($C$12:C47&lt;&gt;"",COUNTA($C$12:C47),"")</f>
        <v>32</v>
      </c>
      <c r="C47" s="25" t="s">
        <v>700</v>
      </c>
      <c r="D47" s="26" t="s">
        <v>911</v>
      </c>
      <c r="E47" s="26" t="s">
        <v>1110</v>
      </c>
      <c r="F47" s="27" t="s">
        <v>554</v>
      </c>
      <c r="G47" s="28">
        <v>44959</v>
      </c>
      <c r="H47" s="29" t="s">
        <v>1107</v>
      </c>
      <c r="I47" s="30" t="s">
        <v>1104</v>
      </c>
      <c r="J47" s="28"/>
      <c r="K47" s="29"/>
      <c r="L47" s="30"/>
      <c r="M47" s="28"/>
      <c r="N47" s="29"/>
      <c r="O47" s="30"/>
      <c r="P47" s="28"/>
      <c r="Q47" s="29"/>
      <c r="R47" s="30"/>
      <c r="S47" s="28"/>
      <c r="T47" s="29"/>
      <c r="U47" s="30"/>
    </row>
    <row r="48" spans="2:21" s="31" customFormat="1" ht="78">
      <c r="B48" s="24">
        <f>IF($C$12:C48&lt;&gt;"",COUNTA($C$12:C48),"")</f>
        <v>33</v>
      </c>
      <c r="C48" s="25" t="s">
        <v>701</v>
      </c>
      <c r="D48" s="26" t="s">
        <v>912</v>
      </c>
      <c r="E48" s="26" t="s">
        <v>1109</v>
      </c>
      <c r="F48" s="27" t="s">
        <v>554</v>
      </c>
      <c r="G48" s="28">
        <v>44959</v>
      </c>
      <c r="H48" s="29" t="s">
        <v>1107</v>
      </c>
      <c r="I48" s="30" t="s">
        <v>1104</v>
      </c>
      <c r="J48" s="28"/>
      <c r="K48" s="29"/>
      <c r="L48" s="30"/>
      <c r="M48" s="28"/>
      <c r="N48" s="29"/>
      <c r="O48" s="30"/>
      <c r="P48" s="28"/>
      <c r="Q48" s="29"/>
      <c r="R48" s="30"/>
      <c r="S48" s="28"/>
      <c r="T48" s="29"/>
      <c r="U48" s="30"/>
    </row>
    <row r="49" spans="2:21" s="31" customFormat="1" ht="98" customHeight="1">
      <c r="B49" s="24">
        <f>IF($C$12:C49&lt;&gt;"",COUNTA($C$12:C49),"")</f>
        <v>34</v>
      </c>
      <c r="C49" s="25" t="s">
        <v>701</v>
      </c>
      <c r="D49" s="26" t="s">
        <v>913</v>
      </c>
      <c r="E49" s="26" t="s">
        <v>1108</v>
      </c>
      <c r="F49" s="27" t="s">
        <v>554</v>
      </c>
      <c r="G49" s="28">
        <v>44959</v>
      </c>
      <c r="H49" s="29" t="s">
        <v>1107</v>
      </c>
      <c r="I49" s="30" t="s">
        <v>1104</v>
      </c>
      <c r="J49" s="28"/>
      <c r="K49" s="29"/>
      <c r="L49" s="30"/>
      <c r="M49" s="28"/>
      <c r="N49" s="29"/>
      <c r="O49" s="30"/>
      <c r="P49" s="28"/>
      <c r="Q49" s="29"/>
      <c r="R49" s="30"/>
      <c r="S49" s="28"/>
      <c r="T49" s="29"/>
      <c r="U49" s="30"/>
    </row>
    <row r="50" spans="2:21" s="31" customFormat="1" ht="84" customHeight="1">
      <c r="B50" s="24">
        <f>IF($C$12:C50&lt;&gt;"",COUNTA($C$12:C50),"")</f>
        <v>35</v>
      </c>
      <c r="C50" s="25" t="s">
        <v>702</v>
      </c>
      <c r="D50" s="26" t="s">
        <v>914</v>
      </c>
      <c r="E50" s="26" t="s">
        <v>1114</v>
      </c>
      <c r="F50" s="27" t="s">
        <v>554</v>
      </c>
      <c r="G50" s="28">
        <v>44959</v>
      </c>
      <c r="H50" s="29" t="s">
        <v>1107</v>
      </c>
      <c r="I50" s="30" t="s">
        <v>1104</v>
      </c>
      <c r="J50" s="28"/>
      <c r="K50" s="29"/>
      <c r="L50" s="30"/>
      <c r="M50" s="28"/>
      <c r="N50" s="29"/>
      <c r="O50" s="30"/>
      <c r="P50" s="28"/>
      <c r="Q50" s="29"/>
      <c r="R50" s="30"/>
      <c r="S50" s="28"/>
      <c r="T50" s="29"/>
      <c r="U50" s="30"/>
    </row>
    <row r="51" spans="2:21" s="31" customFormat="1" ht="78">
      <c r="B51" s="24">
        <f>IF($C$12:C51&lt;&gt;"",COUNTA($C$12:C51),"")</f>
        <v>36</v>
      </c>
      <c r="C51" s="25" t="s">
        <v>702</v>
      </c>
      <c r="D51" s="26" t="s">
        <v>905</v>
      </c>
      <c r="E51" s="26" t="s">
        <v>1115</v>
      </c>
      <c r="F51" s="27" t="s">
        <v>554</v>
      </c>
      <c r="G51" s="28">
        <v>44959</v>
      </c>
      <c r="H51" s="29" t="s">
        <v>1107</v>
      </c>
      <c r="I51" s="30" t="s">
        <v>1104</v>
      </c>
      <c r="J51" s="28"/>
      <c r="K51" s="29"/>
      <c r="L51" s="30"/>
      <c r="M51" s="28"/>
      <c r="N51" s="29"/>
      <c r="O51" s="30"/>
      <c r="P51" s="28"/>
      <c r="Q51" s="29"/>
      <c r="R51" s="30"/>
      <c r="S51" s="28"/>
      <c r="T51" s="29"/>
      <c r="U51" s="30"/>
    </row>
    <row r="52" spans="2:21" s="31" customFormat="1" hidden="1">
      <c r="B52" s="24" t="str">
        <f>IF($C$12:C52&lt;&gt;"",COUNTA($C$12:C52),"")</f>
        <v/>
      </c>
      <c r="C52" s="25"/>
      <c r="D52" s="26"/>
      <c r="E52" s="26"/>
      <c r="F52" s="27"/>
      <c r="G52" s="28"/>
      <c r="H52" s="29"/>
      <c r="I52" s="30"/>
      <c r="J52" s="28"/>
      <c r="K52" s="29"/>
      <c r="L52" s="30"/>
      <c r="M52" s="28"/>
      <c r="N52" s="29"/>
      <c r="O52" s="30"/>
      <c r="P52" s="28"/>
      <c r="Q52" s="29"/>
      <c r="R52" s="30"/>
      <c r="S52" s="28"/>
      <c r="T52" s="29"/>
      <c r="U52" s="30"/>
    </row>
    <row r="53" spans="2:21" ht="27.5" hidden="1" customHeight="1">
      <c r="B53" s="172" t="s">
        <v>777</v>
      </c>
      <c r="C53" s="173"/>
      <c r="D53" s="173"/>
      <c r="E53" s="173"/>
      <c r="F53" s="173"/>
      <c r="G53" s="23"/>
      <c r="H53" s="23"/>
      <c r="I53" s="23"/>
      <c r="J53" s="23"/>
      <c r="K53" s="23"/>
      <c r="L53" s="23"/>
      <c r="M53" s="23"/>
      <c r="N53" s="23"/>
      <c r="O53" s="23"/>
      <c r="P53" s="23"/>
      <c r="Q53" s="23"/>
      <c r="R53" s="23"/>
      <c r="S53" s="23"/>
      <c r="T53" s="23"/>
      <c r="U53" s="23"/>
    </row>
    <row r="54" spans="2:21" s="31" customFormat="1" ht="75.5" hidden="1" customHeight="1">
      <c r="B54" s="24">
        <f>IF($C$12:C54&lt;&gt;"",COUNTA($C$12:C54),"")</f>
        <v>37</v>
      </c>
      <c r="C54" s="25" t="s">
        <v>779</v>
      </c>
      <c r="D54" s="26" t="s">
        <v>778</v>
      </c>
      <c r="E54" s="25" t="s">
        <v>661</v>
      </c>
      <c r="F54" s="27" t="s">
        <v>554</v>
      </c>
      <c r="G54" s="28">
        <v>44956</v>
      </c>
      <c r="H54" s="29" t="s">
        <v>1074</v>
      </c>
      <c r="I54" s="30" t="s">
        <v>268</v>
      </c>
      <c r="J54" s="28"/>
      <c r="K54" s="29"/>
      <c r="L54" s="30"/>
      <c r="M54" s="28"/>
      <c r="N54" s="29"/>
      <c r="O54" s="30"/>
      <c r="P54" s="28"/>
      <c r="Q54" s="29"/>
      <c r="R54" s="30"/>
      <c r="S54" s="28"/>
      <c r="T54" s="29"/>
      <c r="U54" s="30"/>
    </row>
    <row r="55" spans="2:21" s="31" customFormat="1" ht="39" hidden="1">
      <c r="B55" s="24">
        <f>IF($C$12:C55&lt;&gt;"",COUNTA($C$12:C55),"")</f>
        <v>38</v>
      </c>
      <c r="C55" s="25" t="s">
        <v>780</v>
      </c>
      <c r="D55" s="26"/>
      <c r="E55" s="26"/>
      <c r="F55" s="27" t="s">
        <v>554</v>
      </c>
      <c r="G55" s="28">
        <v>44956</v>
      </c>
      <c r="H55" s="29" t="s">
        <v>1074</v>
      </c>
      <c r="I55" s="30" t="s">
        <v>268</v>
      </c>
      <c r="J55" s="28"/>
      <c r="K55" s="29"/>
      <c r="L55" s="30"/>
      <c r="M55" s="28"/>
      <c r="N55" s="29"/>
      <c r="O55" s="30"/>
      <c r="P55" s="28"/>
      <c r="Q55" s="29"/>
      <c r="R55" s="30"/>
      <c r="S55" s="28"/>
      <c r="T55" s="29"/>
      <c r="U55" s="30"/>
    </row>
    <row r="56" spans="2:21" s="31" customFormat="1" ht="39" hidden="1">
      <c r="B56" s="24">
        <f>IF($C$12:C56&lt;&gt;"",COUNTA($C$12:C56),"")</f>
        <v>39</v>
      </c>
      <c r="C56" s="25" t="s">
        <v>781</v>
      </c>
      <c r="D56" s="26"/>
      <c r="E56" s="26"/>
      <c r="F56" s="27" t="s">
        <v>554</v>
      </c>
      <c r="G56" s="28">
        <v>44956</v>
      </c>
      <c r="H56" s="29" t="s">
        <v>1074</v>
      </c>
      <c r="I56" s="30" t="s">
        <v>268</v>
      </c>
      <c r="J56" s="28"/>
      <c r="K56" s="29"/>
      <c r="L56" s="30"/>
      <c r="M56" s="28"/>
      <c r="N56" s="29"/>
      <c r="O56" s="30"/>
      <c r="P56" s="28"/>
      <c r="Q56" s="29"/>
      <c r="R56" s="30"/>
      <c r="S56" s="28"/>
      <c r="T56" s="29"/>
      <c r="U56" s="30"/>
    </row>
    <row r="57" spans="2:21" s="31" customFormat="1" ht="39" hidden="1">
      <c r="B57" s="24">
        <f>IF($C$12:C57&lt;&gt;"",COUNTA($C$12:C57),"")</f>
        <v>40</v>
      </c>
      <c r="C57" s="25" t="s">
        <v>782</v>
      </c>
      <c r="D57" s="26"/>
      <c r="E57" s="26"/>
      <c r="F57" s="27" t="s">
        <v>554</v>
      </c>
      <c r="G57" s="28">
        <v>44956</v>
      </c>
      <c r="H57" s="29" t="s">
        <v>1074</v>
      </c>
      <c r="I57" s="30" t="s">
        <v>268</v>
      </c>
      <c r="J57" s="28"/>
      <c r="K57" s="29"/>
      <c r="L57" s="30"/>
      <c r="M57" s="28"/>
      <c r="N57" s="29"/>
      <c r="O57" s="30"/>
      <c r="P57" s="28"/>
      <c r="Q57" s="29"/>
      <c r="R57" s="30"/>
      <c r="S57" s="28"/>
      <c r="T57" s="29"/>
      <c r="U57" s="30"/>
    </row>
    <row r="58" spans="2:21" s="31" customFormat="1" ht="39" hidden="1">
      <c r="B58" s="24">
        <f>IF($C$12:C58&lt;&gt;"",COUNTA($C$12:C58),"")</f>
        <v>41</v>
      </c>
      <c r="C58" s="25" t="s">
        <v>917</v>
      </c>
      <c r="D58" s="26"/>
      <c r="E58" s="26"/>
      <c r="F58" s="27" t="s">
        <v>554</v>
      </c>
      <c r="G58" s="28">
        <v>44956</v>
      </c>
      <c r="H58" s="29" t="s">
        <v>1074</v>
      </c>
      <c r="I58" s="30" t="s">
        <v>268</v>
      </c>
      <c r="J58" s="28"/>
      <c r="K58" s="29"/>
      <c r="L58" s="30"/>
      <c r="M58" s="28"/>
      <c r="N58" s="29"/>
      <c r="O58" s="30"/>
      <c r="P58" s="28"/>
      <c r="Q58" s="29"/>
      <c r="R58" s="30"/>
      <c r="S58" s="28"/>
      <c r="T58" s="29"/>
      <c r="U58" s="30"/>
    </row>
    <row r="59" spans="2:21" s="31" customFormat="1" hidden="1">
      <c r="B59" s="24" t="str">
        <f>IF($C$12:C59&lt;&gt;"",COUNTA($C$12:C59),"")</f>
        <v/>
      </c>
      <c r="C59" s="25"/>
      <c r="D59" s="26"/>
      <c r="E59" s="26"/>
      <c r="F59" s="27"/>
      <c r="G59" s="28"/>
      <c r="H59" s="29"/>
      <c r="I59" s="30"/>
      <c r="J59" s="28"/>
      <c r="K59" s="29"/>
      <c r="L59" s="30"/>
      <c r="M59" s="28"/>
      <c r="N59" s="29"/>
      <c r="O59" s="30"/>
      <c r="P59" s="28"/>
      <c r="Q59" s="29"/>
      <c r="R59" s="30"/>
      <c r="S59" s="28"/>
      <c r="T59" s="29"/>
      <c r="U59" s="30"/>
    </row>
    <row r="60" spans="2:21" ht="27.5" hidden="1" customHeight="1">
      <c r="B60" s="172" t="s">
        <v>783</v>
      </c>
      <c r="C60" s="173"/>
      <c r="D60" s="173"/>
      <c r="E60" s="173"/>
      <c r="F60" s="173"/>
      <c r="G60" s="23"/>
      <c r="H60" s="23"/>
      <c r="I60" s="23"/>
      <c r="J60" s="23"/>
      <c r="K60" s="23"/>
      <c r="L60" s="23"/>
      <c r="M60" s="23"/>
      <c r="N60" s="23"/>
      <c r="O60" s="23"/>
      <c r="P60" s="23"/>
      <c r="Q60" s="23"/>
      <c r="R60" s="23"/>
      <c r="S60" s="23"/>
      <c r="T60" s="23"/>
      <c r="U60" s="23"/>
    </row>
    <row r="61" spans="2:21" s="31" customFormat="1" ht="76" hidden="1" customHeight="1">
      <c r="B61" s="24">
        <f>IF($C$12:C61&lt;&gt;"",COUNTA($C$12:C61),"")</f>
        <v>42</v>
      </c>
      <c r="C61" s="25" t="s">
        <v>785</v>
      </c>
      <c r="D61" s="26" t="s">
        <v>784</v>
      </c>
      <c r="E61" s="26" t="s">
        <v>662</v>
      </c>
      <c r="F61" s="27" t="s">
        <v>554</v>
      </c>
      <c r="G61" s="28">
        <v>44953</v>
      </c>
      <c r="H61" s="29" t="s">
        <v>940</v>
      </c>
      <c r="I61" s="30" t="s">
        <v>268</v>
      </c>
      <c r="J61" s="28"/>
      <c r="K61" s="29"/>
      <c r="L61" s="30"/>
      <c r="M61" s="28"/>
      <c r="N61" s="29"/>
      <c r="O61" s="30"/>
      <c r="P61" s="28"/>
      <c r="Q61" s="29"/>
      <c r="R61" s="30"/>
      <c r="S61" s="28"/>
      <c r="T61" s="29"/>
      <c r="U61" s="30"/>
    </row>
    <row r="62" spans="2:21" s="31" customFormat="1" ht="39" hidden="1">
      <c r="B62" s="24">
        <f>IF($C$12:C62&lt;&gt;"",COUNTA($C$12:C62),"")</f>
        <v>43</v>
      </c>
      <c r="C62" s="25" t="s">
        <v>786</v>
      </c>
      <c r="D62" s="26"/>
      <c r="E62" s="26"/>
      <c r="F62" s="27" t="s">
        <v>554</v>
      </c>
      <c r="G62" s="28">
        <v>44953</v>
      </c>
      <c r="H62" s="29" t="s">
        <v>940</v>
      </c>
      <c r="I62" s="30" t="s">
        <v>268</v>
      </c>
      <c r="J62" s="28"/>
      <c r="K62" s="29"/>
      <c r="L62" s="30"/>
      <c r="M62" s="28"/>
      <c r="N62" s="29"/>
      <c r="O62" s="30"/>
      <c r="P62" s="28"/>
      <c r="Q62" s="29"/>
      <c r="R62" s="30"/>
      <c r="S62" s="28"/>
      <c r="T62" s="29"/>
      <c r="U62" s="30"/>
    </row>
    <row r="63" spans="2:21" s="31" customFormat="1" ht="39" hidden="1">
      <c r="B63" s="24">
        <f>IF($C$12:C63&lt;&gt;"",COUNTA($C$12:C63),"")</f>
        <v>44</v>
      </c>
      <c r="C63" s="25" t="s">
        <v>787</v>
      </c>
      <c r="D63" s="26"/>
      <c r="E63" s="26"/>
      <c r="F63" s="27" t="s">
        <v>554</v>
      </c>
      <c r="G63" s="28">
        <v>44953</v>
      </c>
      <c r="H63" s="29" t="s">
        <v>940</v>
      </c>
      <c r="I63" s="30" t="s">
        <v>268</v>
      </c>
      <c r="J63" s="28"/>
      <c r="K63" s="29"/>
      <c r="L63" s="30"/>
      <c r="M63" s="28"/>
      <c r="N63" s="29"/>
      <c r="O63" s="30"/>
      <c r="P63" s="28"/>
      <c r="Q63" s="29"/>
      <c r="R63" s="30"/>
      <c r="S63" s="28"/>
      <c r="T63" s="29"/>
      <c r="U63" s="30"/>
    </row>
    <row r="64" spans="2:21" s="31" customFormat="1" ht="39" hidden="1">
      <c r="B64" s="24">
        <f>IF($C$12:C64&lt;&gt;"",COUNTA($C$12:C64),"")</f>
        <v>45</v>
      </c>
      <c r="C64" s="25" t="s">
        <v>788</v>
      </c>
      <c r="D64" s="26"/>
      <c r="E64" s="26"/>
      <c r="F64" s="27" t="s">
        <v>554</v>
      </c>
      <c r="G64" s="28">
        <v>44953</v>
      </c>
      <c r="H64" s="29" t="s">
        <v>940</v>
      </c>
      <c r="I64" s="30" t="s">
        <v>268</v>
      </c>
      <c r="J64" s="28"/>
      <c r="K64" s="29"/>
      <c r="L64" s="30"/>
      <c r="M64" s="28"/>
      <c r="N64" s="29"/>
      <c r="O64" s="30"/>
      <c r="P64" s="28"/>
      <c r="Q64" s="29"/>
      <c r="R64" s="30"/>
      <c r="S64" s="28"/>
      <c r="T64" s="29"/>
      <c r="U64" s="30"/>
    </row>
    <row r="65" spans="2:21" s="31" customFormat="1" ht="39" hidden="1">
      <c r="B65" s="24">
        <f>IF($C$12:C65&lt;&gt;"",COUNTA($C$12:C65),"")</f>
        <v>46</v>
      </c>
      <c r="C65" s="25" t="s">
        <v>789</v>
      </c>
      <c r="D65" s="26"/>
      <c r="E65" s="26"/>
      <c r="F65" s="27" t="s">
        <v>554</v>
      </c>
      <c r="G65" s="28">
        <v>44953</v>
      </c>
      <c r="H65" s="29" t="s">
        <v>940</v>
      </c>
      <c r="I65" s="30" t="s">
        <v>268</v>
      </c>
      <c r="J65" s="28"/>
      <c r="K65" s="29"/>
      <c r="L65" s="30"/>
      <c r="M65" s="28"/>
      <c r="N65" s="29"/>
      <c r="O65" s="30"/>
      <c r="P65" s="28"/>
      <c r="Q65" s="29"/>
      <c r="R65" s="30"/>
      <c r="S65" s="28"/>
      <c r="T65" s="29"/>
      <c r="U65" s="30"/>
    </row>
    <row r="66" spans="2:21" s="31" customFormat="1" ht="39" hidden="1">
      <c r="B66" s="24">
        <f>IF($C$12:C66&lt;&gt;"",COUNTA($C$12:C66),"")</f>
        <v>47</v>
      </c>
      <c r="C66" s="25" t="s">
        <v>790</v>
      </c>
      <c r="D66" s="26"/>
      <c r="E66" s="26"/>
      <c r="F66" s="27" t="s">
        <v>554</v>
      </c>
      <c r="G66" s="28">
        <v>44953</v>
      </c>
      <c r="H66" s="29" t="s">
        <v>940</v>
      </c>
      <c r="I66" s="30" t="s">
        <v>268</v>
      </c>
      <c r="J66" s="28"/>
      <c r="K66" s="29"/>
      <c r="L66" s="30"/>
      <c r="M66" s="28"/>
      <c r="N66" s="29"/>
      <c r="O66" s="30"/>
      <c r="P66" s="28"/>
      <c r="Q66" s="29"/>
      <c r="R66" s="30"/>
      <c r="S66" s="28"/>
      <c r="T66" s="29"/>
      <c r="U66" s="30"/>
    </row>
    <row r="67" spans="2:21" s="31" customFormat="1" ht="39" hidden="1">
      <c r="B67" s="24">
        <f>IF($C$12:C67&lt;&gt;"",COUNTA($C$12:C67),"")</f>
        <v>48</v>
      </c>
      <c r="C67" s="25" t="s">
        <v>791</v>
      </c>
      <c r="D67" s="26"/>
      <c r="E67" s="26"/>
      <c r="F67" s="27" t="s">
        <v>554</v>
      </c>
      <c r="G67" s="28">
        <v>44953</v>
      </c>
      <c r="H67" s="29" t="s">
        <v>940</v>
      </c>
      <c r="I67" s="30" t="s">
        <v>268</v>
      </c>
      <c r="J67" s="28"/>
      <c r="K67" s="29"/>
      <c r="L67" s="30"/>
      <c r="M67" s="28"/>
      <c r="N67" s="29"/>
      <c r="O67" s="30"/>
      <c r="P67" s="28"/>
      <c r="Q67" s="29"/>
      <c r="R67" s="30"/>
      <c r="S67" s="28"/>
      <c r="T67" s="29"/>
      <c r="U67" s="30"/>
    </row>
    <row r="68" spans="2:21" s="31" customFormat="1" ht="39" hidden="1">
      <c r="B68" s="24">
        <f>IF($C$12:C68&lt;&gt;"",COUNTA($C$12:C68),"")</f>
        <v>49</v>
      </c>
      <c r="C68" s="25" t="s">
        <v>792</v>
      </c>
      <c r="D68" s="26"/>
      <c r="E68" s="26"/>
      <c r="F68" s="27" t="s">
        <v>554</v>
      </c>
      <c r="G68" s="28">
        <v>44953</v>
      </c>
      <c r="H68" s="29" t="s">
        <v>940</v>
      </c>
      <c r="I68" s="30" t="s">
        <v>268</v>
      </c>
      <c r="J68" s="28"/>
      <c r="K68" s="29"/>
      <c r="L68" s="30"/>
      <c r="M68" s="28"/>
      <c r="N68" s="29"/>
      <c r="O68" s="30"/>
      <c r="P68" s="28"/>
      <c r="Q68" s="29"/>
      <c r="R68" s="30"/>
      <c r="S68" s="28"/>
      <c r="T68" s="29"/>
      <c r="U68" s="30"/>
    </row>
    <row r="69" spans="2:21" s="31" customFormat="1" ht="39" hidden="1">
      <c r="B69" s="24">
        <f>IF($C$12:C69&lt;&gt;"",COUNTA($C$12:C69),"")</f>
        <v>50</v>
      </c>
      <c r="C69" s="25" t="s">
        <v>793</v>
      </c>
      <c r="D69" s="26"/>
      <c r="E69" s="26"/>
      <c r="F69" s="27" t="s">
        <v>554</v>
      </c>
      <c r="G69" s="28">
        <v>44953</v>
      </c>
      <c r="H69" s="29" t="s">
        <v>940</v>
      </c>
      <c r="I69" s="30" t="s">
        <v>268</v>
      </c>
      <c r="J69" s="28"/>
      <c r="K69" s="29"/>
      <c r="L69" s="30"/>
      <c r="M69" s="28"/>
      <c r="N69" s="29"/>
      <c r="O69" s="30"/>
      <c r="P69" s="28"/>
      <c r="Q69" s="29"/>
      <c r="R69" s="30"/>
      <c r="S69" s="28"/>
      <c r="T69" s="29"/>
      <c r="U69" s="30"/>
    </row>
    <row r="70" spans="2:21" s="31" customFormat="1" ht="39" hidden="1">
      <c r="B70" s="24">
        <f>IF($C$12:C70&lt;&gt;"",COUNTA($C$12:C70),"")</f>
        <v>51</v>
      </c>
      <c r="C70" s="25" t="s">
        <v>794</v>
      </c>
      <c r="D70" s="26"/>
      <c r="E70" s="26"/>
      <c r="F70" s="27" t="s">
        <v>554</v>
      </c>
      <c r="G70" s="28">
        <v>44953</v>
      </c>
      <c r="H70" s="29" t="s">
        <v>940</v>
      </c>
      <c r="I70" s="30" t="s">
        <v>268</v>
      </c>
      <c r="J70" s="28"/>
      <c r="K70" s="29"/>
      <c r="L70" s="30"/>
      <c r="M70" s="28"/>
      <c r="N70" s="29"/>
      <c r="O70" s="30"/>
      <c r="P70" s="28"/>
      <c r="Q70" s="29"/>
      <c r="R70" s="30"/>
      <c r="S70" s="28"/>
      <c r="T70" s="29"/>
      <c r="U70" s="30"/>
    </row>
    <row r="71" spans="2:21" s="31" customFormat="1" ht="39" hidden="1">
      <c r="B71" s="24">
        <f>IF($C$12:C71&lt;&gt;"",COUNTA($C$12:C71),"")</f>
        <v>52</v>
      </c>
      <c r="C71" s="25" t="s">
        <v>795</v>
      </c>
      <c r="D71" s="26"/>
      <c r="E71" s="26"/>
      <c r="F71" s="27" t="s">
        <v>554</v>
      </c>
      <c r="G71" s="28">
        <v>44953</v>
      </c>
      <c r="H71" s="29" t="s">
        <v>940</v>
      </c>
      <c r="I71" s="30" t="s">
        <v>268</v>
      </c>
      <c r="J71" s="28"/>
      <c r="K71" s="29"/>
      <c r="L71" s="30"/>
      <c r="M71" s="28"/>
      <c r="N71" s="29"/>
      <c r="O71" s="30"/>
      <c r="P71" s="28"/>
      <c r="Q71" s="29"/>
      <c r="R71" s="30"/>
      <c r="S71" s="28"/>
      <c r="T71" s="29"/>
      <c r="U71" s="30"/>
    </row>
    <row r="72" spans="2:21" s="31" customFormat="1" ht="39" hidden="1">
      <c r="B72" s="24">
        <f>IF($C$12:C72&lt;&gt;"",COUNTA($C$12:C72),"")</f>
        <v>53</v>
      </c>
      <c r="C72" s="25" t="s">
        <v>796</v>
      </c>
      <c r="D72" s="26"/>
      <c r="E72" s="26"/>
      <c r="F72" s="27" t="s">
        <v>554</v>
      </c>
      <c r="G72" s="28">
        <v>44953</v>
      </c>
      <c r="H72" s="29" t="s">
        <v>940</v>
      </c>
      <c r="I72" s="30" t="s">
        <v>268</v>
      </c>
      <c r="J72" s="28"/>
      <c r="K72" s="29"/>
      <c r="L72" s="30"/>
      <c r="M72" s="28"/>
      <c r="N72" s="29"/>
      <c r="O72" s="30"/>
      <c r="P72" s="28"/>
      <c r="Q72" s="29"/>
      <c r="R72" s="30"/>
      <c r="S72" s="28"/>
      <c r="T72" s="29"/>
      <c r="U72" s="30"/>
    </row>
    <row r="73" spans="2:21" s="31" customFormat="1" ht="39" hidden="1">
      <c r="B73" s="24">
        <f>IF($C$12:C73&lt;&gt;"",COUNTA($C$12:C73),"")</f>
        <v>54</v>
      </c>
      <c r="C73" s="25" t="s">
        <v>797</v>
      </c>
      <c r="D73" s="26"/>
      <c r="E73" s="26"/>
      <c r="F73" s="27" t="s">
        <v>554</v>
      </c>
      <c r="G73" s="28">
        <v>44953</v>
      </c>
      <c r="H73" s="29" t="s">
        <v>940</v>
      </c>
      <c r="I73" s="30" t="s">
        <v>268</v>
      </c>
      <c r="J73" s="28"/>
      <c r="K73" s="29"/>
      <c r="L73" s="30"/>
      <c r="M73" s="28"/>
      <c r="N73" s="29"/>
      <c r="O73" s="30"/>
      <c r="P73" s="28"/>
      <c r="Q73" s="29"/>
      <c r="R73" s="30"/>
      <c r="S73" s="28"/>
      <c r="T73" s="29"/>
      <c r="U73" s="30"/>
    </row>
    <row r="74" spans="2:21" s="31" customFormat="1" ht="39" hidden="1">
      <c r="B74" s="24">
        <f>IF($C$12:C74&lt;&gt;"",COUNTA($C$12:C74),"")</f>
        <v>55</v>
      </c>
      <c r="C74" s="25" t="s">
        <v>798</v>
      </c>
      <c r="D74" s="26"/>
      <c r="E74" s="26"/>
      <c r="F74" s="27" t="s">
        <v>554</v>
      </c>
      <c r="G74" s="28">
        <v>44953</v>
      </c>
      <c r="H74" s="29" t="s">
        <v>940</v>
      </c>
      <c r="I74" s="30" t="s">
        <v>268</v>
      </c>
      <c r="J74" s="28"/>
      <c r="K74" s="29"/>
      <c r="L74" s="30"/>
      <c r="M74" s="28"/>
      <c r="N74" s="29"/>
      <c r="O74" s="30"/>
      <c r="P74" s="28"/>
      <c r="Q74" s="29"/>
      <c r="R74" s="30"/>
      <c r="S74" s="28"/>
      <c r="T74" s="29"/>
      <c r="U74" s="30"/>
    </row>
    <row r="75" spans="2:21" s="31" customFormat="1" ht="39" hidden="1">
      <c r="B75" s="24">
        <f>IF($C$12:C75&lt;&gt;"",COUNTA($C$12:C75),"")</f>
        <v>56</v>
      </c>
      <c r="C75" s="25" t="s">
        <v>799</v>
      </c>
      <c r="D75" s="26"/>
      <c r="E75" s="26"/>
      <c r="F75" s="27" t="s">
        <v>554</v>
      </c>
      <c r="G75" s="28">
        <v>44953</v>
      </c>
      <c r="H75" s="29" t="s">
        <v>940</v>
      </c>
      <c r="I75" s="30" t="s">
        <v>268</v>
      </c>
      <c r="J75" s="28"/>
      <c r="K75" s="29"/>
      <c r="L75" s="30"/>
      <c r="M75" s="28"/>
      <c r="N75" s="29"/>
      <c r="O75" s="30"/>
      <c r="P75" s="28"/>
      <c r="Q75" s="29"/>
      <c r="R75" s="30"/>
      <c r="S75" s="28"/>
      <c r="T75" s="29"/>
      <c r="U75" s="30"/>
    </row>
    <row r="76" spans="2:21" s="31" customFormat="1" ht="39" hidden="1">
      <c r="B76" s="24">
        <f>IF($C$12:C76&lt;&gt;"",COUNTA($C$12:C76),"")</f>
        <v>57</v>
      </c>
      <c r="C76" s="25" t="s">
        <v>800</v>
      </c>
      <c r="D76" s="26"/>
      <c r="E76" s="26"/>
      <c r="F76" s="27" t="s">
        <v>554</v>
      </c>
      <c r="G76" s="28">
        <v>44953</v>
      </c>
      <c r="H76" s="29" t="s">
        <v>940</v>
      </c>
      <c r="I76" s="30" t="s">
        <v>268</v>
      </c>
      <c r="J76" s="28"/>
      <c r="K76" s="29"/>
      <c r="L76" s="30"/>
      <c r="M76" s="28"/>
      <c r="N76" s="29"/>
      <c r="O76" s="30"/>
      <c r="P76" s="28"/>
      <c r="Q76" s="29"/>
      <c r="R76" s="30"/>
      <c r="S76" s="28"/>
      <c r="T76" s="29"/>
      <c r="U76" s="30"/>
    </row>
    <row r="77" spans="2:21" s="31" customFormat="1" ht="39" hidden="1">
      <c r="B77" s="24">
        <f>IF($C$12:C77&lt;&gt;"",COUNTA($C$12:C77),"")</f>
        <v>58</v>
      </c>
      <c r="C77" s="25" t="s">
        <v>801</v>
      </c>
      <c r="D77" s="26"/>
      <c r="E77" s="26"/>
      <c r="F77" s="27" t="s">
        <v>554</v>
      </c>
      <c r="G77" s="28">
        <v>44953</v>
      </c>
      <c r="H77" s="29" t="s">
        <v>940</v>
      </c>
      <c r="I77" s="30" t="s">
        <v>268</v>
      </c>
      <c r="J77" s="28"/>
      <c r="K77" s="29"/>
      <c r="L77" s="30"/>
      <c r="M77" s="28"/>
      <c r="N77" s="29"/>
      <c r="O77" s="30"/>
      <c r="P77" s="28"/>
      <c r="Q77" s="29"/>
      <c r="R77" s="30"/>
      <c r="S77" s="28"/>
      <c r="T77" s="29"/>
      <c r="U77" s="30"/>
    </row>
    <row r="78" spans="2:21" s="31" customFormat="1" ht="39" hidden="1">
      <c r="B78" s="24">
        <f>IF($C$12:C78&lt;&gt;"",COUNTA($C$12:C78),"")</f>
        <v>59</v>
      </c>
      <c r="C78" s="25" t="s">
        <v>802</v>
      </c>
      <c r="D78" s="26"/>
      <c r="E78" s="26"/>
      <c r="F78" s="27" t="s">
        <v>554</v>
      </c>
      <c r="G78" s="28">
        <v>44953</v>
      </c>
      <c r="H78" s="29" t="s">
        <v>940</v>
      </c>
      <c r="I78" s="30" t="s">
        <v>268</v>
      </c>
      <c r="J78" s="28"/>
      <c r="K78" s="29"/>
      <c r="L78" s="30"/>
      <c r="M78" s="28"/>
      <c r="N78" s="29"/>
      <c r="O78" s="30"/>
      <c r="P78" s="28"/>
      <c r="Q78" s="29"/>
      <c r="R78" s="30"/>
      <c r="S78" s="28"/>
      <c r="T78" s="29"/>
      <c r="U78" s="30"/>
    </row>
    <row r="79" spans="2:21" s="31" customFormat="1" ht="39" hidden="1">
      <c r="B79" s="24">
        <f>IF($C$12:C79&lt;&gt;"",COUNTA($C$12:C79),"")</f>
        <v>60</v>
      </c>
      <c r="C79" s="25" t="s">
        <v>803</v>
      </c>
      <c r="D79" s="26"/>
      <c r="E79" s="26"/>
      <c r="F79" s="27" t="s">
        <v>554</v>
      </c>
      <c r="G79" s="28">
        <v>44953</v>
      </c>
      <c r="H79" s="29" t="s">
        <v>940</v>
      </c>
      <c r="I79" s="30" t="s">
        <v>268</v>
      </c>
      <c r="J79" s="28"/>
      <c r="K79" s="29"/>
      <c r="L79" s="30"/>
      <c r="M79" s="28"/>
      <c r="N79" s="29"/>
      <c r="O79" s="30"/>
      <c r="P79" s="28"/>
      <c r="Q79" s="29"/>
      <c r="R79" s="30"/>
      <c r="S79" s="28"/>
      <c r="T79" s="29"/>
      <c r="U79" s="30"/>
    </row>
    <row r="80" spans="2:21" s="31" customFormat="1" ht="39" hidden="1">
      <c r="B80" s="24">
        <f>IF($C$12:C80&lt;&gt;"",COUNTA($C$12:C80),"")</f>
        <v>61</v>
      </c>
      <c r="C80" s="25" t="s">
        <v>804</v>
      </c>
      <c r="D80" s="26"/>
      <c r="E80" s="26"/>
      <c r="F80" s="27" t="s">
        <v>554</v>
      </c>
      <c r="G80" s="28">
        <v>44953</v>
      </c>
      <c r="H80" s="29" t="s">
        <v>940</v>
      </c>
      <c r="I80" s="30" t="s">
        <v>268</v>
      </c>
      <c r="J80" s="28"/>
      <c r="K80" s="29"/>
      <c r="L80" s="30"/>
      <c r="M80" s="28"/>
      <c r="N80" s="29"/>
      <c r="O80" s="30"/>
      <c r="P80" s="28"/>
      <c r="Q80" s="29"/>
      <c r="R80" s="30"/>
      <c r="S80" s="28"/>
      <c r="T80" s="29"/>
      <c r="U80" s="30"/>
    </row>
    <row r="81" spans="2:21" s="31" customFormat="1" ht="39" hidden="1">
      <c r="B81" s="24">
        <f>IF($C$12:C81&lt;&gt;"",COUNTA($C$12:C81),"")</f>
        <v>62</v>
      </c>
      <c r="C81" s="25" t="s">
        <v>805</v>
      </c>
      <c r="D81" s="26"/>
      <c r="E81" s="26"/>
      <c r="F81" s="27" t="s">
        <v>554</v>
      </c>
      <c r="G81" s="28">
        <v>44953</v>
      </c>
      <c r="H81" s="29" t="s">
        <v>940</v>
      </c>
      <c r="I81" s="30" t="s">
        <v>268</v>
      </c>
      <c r="J81" s="28"/>
      <c r="K81" s="29"/>
      <c r="L81" s="30"/>
      <c r="M81" s="28"/>
      <c r="N81" s="29"/>
      <c r="O81" s="30"/>
      <c r="P81" s="28"/>
      <c r="Q81" s="29"/>
      <c r="R81" s="30"/>
      <c r="S81" s="28"/>
      <c r="T81" s="29"/>
      <c r="U81" s="30"/>
    </row>
    <row r="82" spans="2:21" s="31" customFormat="1" ht="39" hidden="1">
      <c r="B82" s="24">
        <f>IF($C$12:C82&lt;&gt;"",COUNTA($C$12:C82),"")</f>
        <v>63</v>
      </c>
      <c r="C82" s="25" t="s">
        <v>806</v>
      </c>
      <c r="D82" s="26"/>
      <c r="E82" s="26"/>
      <c r="F82" s="27" t="s">
        <v>554</v>
      </c>
      <c r="G82" s="28">
        <v>44953</v>
      </c>
      <c r="H82" s="29" t="s">
        <v>940</v>
      </c>
      <c r="I82" s="30" t="s">
        <v>268</v>
      </c>
      <c r="J82" s="28"/>
      <c r="K82" s="29"/>
      <c r="L82" s="30"/>
      <c r="M82" s="28"/>
      <c r="N82" s="29"/>
      <c r="O82" s="30"/>
      <c r="P82" s="28"/>
      <c r="Q82" s="29"/>
      <c r="R82" s="30"/>
      <c r="S82" s="28"/>
      <c r="T82" s="29"/>
      <c r="U82" s="30"/>
    </row>
    <row r="83" spans="2:21" s="31" customFormat="1" ht="39" hidden="1">
      <c r="B83" s="24">
        <f>IF($C$12:C83&lt;&gt;"",COUNTA($C$12:C83),"")</f>
        <v>64</v>
      </c>
      <c r="C83" s="25" t="s">
        <v>807</v>
      </c>
      <c r="D83" s="26"/>
      <c r="E83" s="26"/>
      <c r="F83" s="27" t="s">
        <v>554</v>
      </c>
      <c r="G83" s="28">
        <v>44953</v>
      </c>
      <c r="H83" s="29" t="s">
        <v>940</v>
      </c>
      <c r="I83" s="30" t="s">
        <v>268</v>
      </c>
      <c r="J83" s="28"/>
      <c r="K83" s="29"/>
      <c r="L83" s="30"/>
      <c r="M83" s="28"/>
      <c r="N83" s="29"/>
      <c r="O83" s="30"/>
      <c r="P83" s="28"/>
      <c r="Q83" s="29"/>
      <c r="R83" s="30"/>
      <c r="S83" s="28"/>
      <c r="T83" s="29"/>
      <c r="U83" s="30"/>
    </row>
    <row r="84" spans="2:21" s="31" customFormat="1" ht="39" hidden="1">
      <c r="B84" s="24">
        <f>IF($C$12:C84&lt;&gt;"",COUNTA($C$12:C84),"")</f>
        <v>65</v>
      </c>
      <c r="C84" s="25" t="s">
        <v>808</v>
      </c>
      <c r="D84" s="26"/>
      <c r="E84" s="26"/>
      <c r="F84" s="27" t="s">
        <v>554</v>
      </c>
      <c r="G84" s="28">
        <v>44953</v>
      </c>
      <c r="H84" s="29" t="s">
        <v>940</v>
      </c>
      <c r="I84" s="30" t="s">
        <v>268</v>
      </c>
      <c r="J84" s="28"/>
      <c r="K84" s="29"/>
      <c r="L84" s="30"/>
      <c r="M84" s="28"/>
      <c r="N84" s="29"/>
      <c r="O84" s="30"/>
      <c r="P84" s="28"/>
      <c r="Q84" s="29"/>
      <c r="R84" s="30"/>
      <c r="S84" s="28"/>
      <c r="T84" s="29"/>
      <c r="U84" s="30"/>
    </row>
    <row r="85" spans="2:21" s="31" customFormat="1" ht="39" hidden="1">
      <c r="B85" s="24">
        <f>IF($C$12:C85&lt;&gt;"",COUNTA($C$12:C85),"")</f>
        <v>66</v>
      </c>
      <c r="C85" s="25" t="s">
        <v>809</v>
      </c>
      <c r="D85" s="26"/>
      <c r="E85" s="26"/>
      <c r="F85" s="27" t="s">
        <v>554</v>
      </c>
      <c r="G85" s="28">
        <v>44953</v>
      </c>
      <c r="H85" s="29" t="s">
        <v>940</v>
      </c>
      <c r="I85" s="30" t="s">
        <v>268</v>
      </c>
      <c r="J85" s="28"/>
      <c r="K85" s="29"/>
      <c r="L85" s="30"/>
      <c r="M85" s="28"/>
      <c r="N85" s="29"/>
      <c r="O85" s="30"/>
      <c r="P85" s="28"/>
      <c r="Q85" s="29"/>
      <c r="R85" s="30"/>
      <c r="S85" s="28"/>
      <c r="T85" s="29"/>
      <c r="U85" s="30"/>
    </row>
    <row r="86" spans="2:21" s="31" customFormat="1" ht="39" hidden="1">
      <c r="B86" s="24">
        <f>IF($C$12:C86&lt;&gt;"",COUNTA($C$12:C86),"")</f>
        <v>67</v>
      </c>
      <c r="C86" s="25" t="s">
        <v>810</v>
      </c>
      <c r="D86" s="26"/>
      <c r="E86" s="26"/>
      <c r="F86" s="27" t="s">
        <v>554</v>
      </c>
      <c r="G86" s="28">
        <v>44958</v>
      </c>
      <c r="H86" s="29" t="s">
        <v>1097</v>
      </c>
      <c r="I86" s="30" t="s">
        <v>1098</v>
      </c>
      <c r="J86" s="28"/>
      <c r="K86" s="29"/>
      <c r="L86" s="30"/>
      <c r="M86" s="28"/>
      <c r="N86" s="29"/>
      <c r="O86" s="30"/>
      <c r="P86" s="28"/>
      <c r="Q86" s="29"/>
      <c r="R86" s="30"/>
      <c r="S86" s="28"/>
      <c r="T86" s="29"/>
      <c r="U86" s="30"/>
    </row>
    <row r="87" spans="2:21" s="31" customFormat="1" hidden="1">
      <c r="B87" s="24" t="str">
        <f>IF($C$12:C87&lt;&gt;"",COUNTA($C$12:C87),"")</f>
        <v/>
      </c>
      <c r="C87" s="25"/>
      <c r="D87" s="26"/>
      <c r="E87" s="26"/>
      <c r="F87" s="27"/>
      <c r="G87" s="28"/>
      <c r="H87" s="29"/>
      <c r="I87" s="30"/>
      <c r="J87" s="28"/>
      <c r="K87" s="29"/>
      <c r="L87" s="30"/>
      <c r="M87" s="28"/>
      <c r="N87" s="29"/>
      <c r="O87" s="30"/>
      <c r="P87" s="28"/>
      <c r="Q87" s="29"/>
      <c r="R87" s="30"/>
      <c r="S87" s="28"/>
      <c r="T87" s="29"/>
      <c r="U87" s="30"/>
    </row>
    <row r="88" spans="2:21" ht="27.5" hidden="1" customHeight="1">
      <c r="B88" s="172" t="s">
        <v>812</v>
      </c>
      <c r="C88" s="173"/>
      <c r="D88" s="173"/>
      <c r="E88" s="173"/>
      <c r="F88" s="173"/>
      <c r="G88" s="23"/>
      <c r="H88" s="23"/>
      <c r="I88" s="23"/>
      <c r="J88" s="23"/>
      <c r="K88" s="23"/>
      <c r="L88" s="23"/>
      <c r="M88" s="23"/>
      <c r="N88" s="23"/>
      <c r="O88" s="23"/>
      <c r="P88" s="23"/>
      <c r="Q88" s="23"/>
      <c r="R88" s="23"/>
      <c r="S88" s="23"/>
      <c r="T88" s="23"/>
      <c r="U88" s="23"/>
    </row>
    <row r="89" spans="2:21" s="31" customFormat="1" ht="104" hidden="1">
      <c r="B89" s="24">
        <f>IF($C$12:C89&lt;&gt;"",COUNTA($C$12:C89),"")</f>
        <v>68</v>
      </c>
      <c r="C89" s="25" t="s">
        <v>811</v>
      </c>
      <c r="D89" s="26" t="s">
        <v>906</v>
      </c>
      <c r="E89" s="26" t="s">
        <v>664</v>
      </c>
      <c r="F89" s="27" t="s">
        <v>554</v>
      </c>
      <c r="G89" s="28">
        <v>44958</v>
      </c>
      <c r="H89" s="29" t="s">
        <v>1097</v>
      </c>
      <c r="I89" s="30" t="s">
        <v>1098</v>
      </c>
      <c r="J89" s="28"/>
      <c r="K89" s="29"/>
      <c r="L89" s="30"/>
      <c r="M89" s="28"/>
      <c r="N89" s="29"/>
      <c r="O89" s="30"/>
      <c r="P89" s="28"/>
      <c r="Q89" s="29"/>
      <c r="R89" s="30"/>
      <c r="S89" s="28"/>
      <c r="T89" s="29"/>
      <c r="U89" s="30"/>
    </row>
    <row r="90" spans="2:21" s="31" customFormat="1" ht="39" hidden="1">
      <c r="B90" s="24">
        <f>IF($C$12:C90&lt;&gt;"",COUNTA($C$12:C90),"")</f>
        <v>69</v>
      </c>
      <c r="C90" s="25" t="s">
        <v>813</v>
      </c>
      <c r="D90" s="26"/>
      <c r="E90" s="26"/>
      <c r="F90" s="27" t="s">
        <v>554</v>
      </c>
      <c r="G90" s="28">
        <v>44958</v>
      </c>
      <c r="H90" s="29" t="s">
        <v>1097</v>
      </c>
      <c r="I90" s="30" t="s">
        <v>1098</v>
      </c>
      <c r="J90" s="28"/>
      <c r="K90" s="29"/>
      <c r="L90" s="30"/>
      <c r="M90" s="28"/>
      <c r="N90" s="29"/>
      <c r="O90" s="30"/>
      <c r="P90" s="28"/>
      <c r="Q90" s="29"/>
      <c r="R90" s="30"/>
      <c r="S90" s="28"/>
      <c r="T90" s="29"/>
      <c r="U90" s="30"/>
    </row>
    <row r="91" spans="2:21" s="31" customFormat="1" ht="39" hidden="1">
      <c r="B91" s="24">
        <f>IF($C$12:C91&lt;&gt;"",COUNTA($C$12:C91),"")</f>
        <v>70</v>
      </c>
      <c r="C91" s="25" t="s">
        <v>814</v>
      </c>
      <c r="D91" s="26"/>
      <c r="E91" s="26"/>
      <c r="F91" s="27" t="s">
        <v>554</v>
      </c>
      <c r="G91" s="28">
        <v>44958</v>
      </c>
      <c r="H91" s="29" t="s">
        <v>1097</v>
      </c>
      <c r="I91" s="30" t="s">
        <v>1098</v>
      </c>
      <c r="J91" s="28"/>
      <c r="K91" s="29"/>
      <c r="L91" s="30"/>
      <c r="M91" s="28"/>
      <c r="N91" s="29"/>
      <c r="O91" s="30"/>
      <c r="P91" s="28"/>
      <c r="Q91" s="29"/>
      <c r="R91" s="30"/>
      <c r="S91" s="28"/>
      <c r="T91" s="29"/>
      <c r="U91" s="30"/>
    </row>
    <row r="92" spans="2:21" s="31" customFormat="1" ht="39" hidden="1">
      <c r="B92" s="24">
        <f>IF($C$12:C92&lt;&gt;"",COUNTA($C$12:C92),"")</f>
        <v>71</v>
      </c>
      <c r="C92" s="25" t="s">
        <v>815</v>
      </c>
      <c r="D92" s="26"/>
      <c r="E92" s="26"/>
      <c r="F92" s="27" t="s">
        <v>554</v>
      </c>
      <c r="G92" s="28">
        <v>44958</v>
      </c>
      <c r="H92" s="29" t="s">
        <v>1097</v>
      </c>
      <c r="I92" s="30" t="s">
        <v>1098</v>
      </c>
      <c r="J92" s="28"/>
      <c r="K92" s="29"/>
      <c r="L92" s="30"/>
      <c r="M92" s="28"/>
      <c r="N92" s="29"/>
      <c r="O92" s="30"/>
      <c r="P92" s="28"/>
      <c r="Q92" s="29"/>
      <c r="R92" s="30"/>
      <c r="S92" s="28"/>
      <c r="T92" s="29"/>
      <c r="U92" s="30"/>
    </row>
    <row r="93" spans="2:21" s="31" customFormat="1" ht="39" hidden="1">
      <c r="B93" s="24">
        <f>IF($C$12:C93&lt;&gt;"",COUNTA($C$12:C93),"")</f>
        <v>72</v>
      </c>
      <c r="C93" s="25" t="s">
        <v>1102</v>
      </c>
      <c r="D93" s="26"/>
      <c r="E93" s="26"/>
      <c r="F93" s="27" t="s">
        <v>554</v>
      </c>
      <c r="G93" s="28">
        <v>44958</v>
      </c>
      <c r="H93" s="29" t="s">
        <v>1097</v>
      </c>
      <c r="I93" s="30" t="s">
        <v>1098</v>
      </c>
      <c r="J93" s="28"/>
      <c r="K93" s="29"/>
      <c r="L93" s="30"/>
      <c r="M93" s="28"/>
      <c r="N93" s="29"/>
      <c r="O93" s="30"/>
      <c r="P93" s="28"/>
      <c r="Q93" s="29"/>
      <c r="R93" s="30"/>
      <c r="S93" s="28"/>
      <c r="T93" s="29"/>
      <c r="U93" s="30"/>
    </row>
    <row r="94" spans="2:21" s="31" customFormat="1" hidden="1">
      <c r="B94" s="24" t="str">
        <f>IF($C$12:C94&lt;&gt;"",COUNTA($C$12:C94),"")</f>
        <v/>
      </c>
      <c r="C94" s="25"/>
      <c r="D94" s="26"/>
      <c r="E94" s="26"/>
      <c r="F94" s="27"/>
      <c r="G94" s="28"/>
      <c r="H94" s="29"/>
      <c r="I94" s="30"/>
      <c r="J94" s="28"/>
      <c r="K94" s="29"/>
      <c r="L94" s="30"/>
      <c r="M94" s="28"/>
      <c r="N94" s="29"/>
      <c r="O94" s="30"/>
      <c r="P94" s="28"/>
      <c r="Q94" s="29"/>
      <c r="R94" s="30"/>
      <c r="S94" s="28"/>
      <c r="T94" s="29"/>
      <c r="U94" s="30"/>
    </row>
    <row r="95" spans="2:21" ht="27.5" hidden="1" customHeight="1">
      <c r="B95" s="172" t="s">
        <v>918</v>
      </c>
      <c r="C95" s="173"/>
      <c r="D95" s="173"/>
      <c r="E95" s="173"/>
      <c r="F95" s="173"/>
      <c r="G95" s="23"/>
      <c r="H95" s="23"/>
      <c r="I95" s="23"/>
      <c r="J95" s="23"/>
      <c r="K95" s="23"/>
      <c r="L95" s="23"/>
      <c r="M95" s="23"/>
      <c r="N95" s="23"/>
      <c r="O95" s="23"/>
      <c r="P95" s="23"/>
      <c r="Q95" s="23"/>
      <c r="R95" s="23"/>
      <c r="S95" s="23"/>
      <c r="T95" s="23"/>
      <c r="U95" s="23"/>
    </row>
    <row r="96" spans="2:21" s="31" customFormat="1" ht="75.5" hidden="1" customHeight="1">
      <c r="B96" s="24">
        <f>IF($C$12:C96&lt;&gt;"",COUNTA($C$12:C96),"")</f>
        <v>73</v>
      </c>
      <c r="C96" s="25" t="s">
        <v>919</v>
      </c>
      <c r="D96" s="26" t="s">
        <v>927</v>
      </c>
      <c r="E96" s="26" t="s">
        <v>928</v>
      </c>
      <c r="F96" s="27" t="s">
        <v>554</v>
      </c>
      <c r="G96" s="28">
        <v>44958</v>
      </c>
      <c r="H96" s="29" t="s">
        <v>1097</v>
      </c>
      <c r="I96" s="30" t="s">
        <v>1098</v>
      </c>
      <c r="J96" s="28"/>
      <c r="K96" s="29"/>
      <c r="L96" s="30"/>
      <c r="M96" s="28"/>
      <c r="N96" s="29"/>
      <c r="O96" s="30"/>
      <c r="P96" s="28"/>
      <c r="Q96" s="29"/>
      <c r="R96" s="30"/>
      <c r="S96" s="28"/>
      <c r="T96" s="29"/>
      <c r="U96" s="30"/>
    </row>
    <row r="97" spans="2:21" s="31" customFormat="1" ht="39" hidden="1">
      <c r="B97" s="24">
        <f>IF($C$12:C97&lt;&gt;"",COUNTA($C$12:C97),"")</f>
        <v>74</v>
      </c>
      <c r="C97" s="25" t="s">
        <v>920</v>
      </c>
      <c r="D97" s="26"/>
      <c r="E97" s="26"/>
      <c r="F97" s="27" t="s">
        <v>554</v>
      </c>
      <c r="G97" s="28">
        <v>44958</v>
      </c>
      <c r="H97" s="29" t="s">
        <v>1097</v>
      </c>
      <c r="I97" s="30" t="s">
        <v>1098</v>
      </c>
      <c r="J97" s="28"/>
      <c r="K97" s="29"/>
      <c r="L97" s="30"/>
      <c r="M97" s="28"/>
      <c r="N97" s="29"/>
      <c r="O97" s="30"/>
      <c r="P97" s="28"/>
      <c r="Q97" s="29"/>
      <c r="R97" s="30"/>
      <c r="S97" s="28"/>
      <c r="T97" s="29"/>
      <c r="U97" s="30"/>
    </row>
    <row r="98" spans="2:21" s="31" customFormat="1" ht="39" hidden="1">
      <c r="B98" s="24">
        <f>IF($C$12:C98&lt;&gt;"",COUNTA($C$12:C98),"")</f>
        <v>75</v>
      </c>
      <c r="C98" s="25" t="s">
        <v>921</v>
      </c>
      <c r="D98" s="26"/>
      <c r="E98" s="26"/>
      <c r="F98" s="27" t="s">
        <v>554</v>
      </c>
      <c r="G98" s="28">
        <v>44958</v>
      </c>
      <c r="H98" s="29" t="s">
        <v>1097</v>
      </c>
      <c r="I98" s="30" t="s">
        <v>1098</v>
      </c>
      <c r="J98" s="28"/>
      <c r="K98" s="29"/>
      <c r="L98" s="30"/>
      <c r="M98" s="28"/>
      <c r="N98" s="29"/>
      <c r="O98" s="30"/>
      <c r="P98" s="28"/>
      <c r="Q98" s="29"/>
      <c r="R98" s="30"/>
      <c r="S98" s="28"/>
      <c r="T98" s="29"/>
      <c r="U98" s="30"/>
    </row>
    <row r="99" spans="2:21" s="31" customFormat="1" ht="48" hidden="1" customHeight="1">
      <c r="B99" s="24">
        <f>IF($C$12:C99&lt;&gt;"",COUNTA($C$12:C99),"")</f>
        <v>76</v>
      </c>
      <c r="C99" s="25" t="s">
        <v>922</v>
      </c>
      <c r="D99" s="26" t="s">
        <v>929</v>
      </c>
      <c r="E99" s="26" t="s">
        <v>930</v>
      </c>
      <c r="F99" s="27" t="s">
        <v>554</v>
      </c>
      <c r="G99" s="28">
        <v>44958</v>
      </c>
      <c r="H99" s="29" t="s">
        <v>1097</v>
      </c>
      <c r="I99" s="30" t="s">
        <v>1098</v>
      </c>
      <c r="J99" s="28"/>
      <c r="K99" s="29"/>
      <c r="L99" s="30"/>
      <c r="M99" s="28"/>
      <c r="N99" s="29"/>
      <c r="O99" s="30"/>
      <c r="P99" s="28"/>
      <c r="Q99" s="29"/>
      <c r="R99" s="30"/>
      <c r="S99" s="28"/>
      <c r="T99" s="29"/>
      <c r="U99" s="30"/>
    </row>
    <row r="100" spans="2:21" s="31" customFormat="1" ht="81.5" hidden="1" customHeight="1">
      <c r="B100" s="24">
        <f>IF($C$12:C100&lt;&gt;"",COUNTA($C$12:C100),"")</f>
        <v>77</v>
      </c>
      <c r="C100" s="25" t="s">
        <v>923</v>
      </c>
      <c r="D100" s="26" t="s">
        <v>931</v>
      </c>
      <c r="E100" s="26" t="s">
        <v>936</v>
      </c>
      <c r="F100" s="27" t="s">
        <v>554</v>
      </c>
      <c r="G100" s="28">
        <v>44958</v>
      </c>
      <c r="H100" s="29" t="s">
        <v>1097</v>
      </c>
      <c r="I100" s="30" t="s">
        <v>1098</v>
      </c>
      <c r="J100" s="28"/>
      <c r="K100" s="29"/>
      <c r="L100" s="30"/>
      <c r="M100" s="28"/>
      <c r="N100" s="29"/>
      <c r="O100" s="30"/>
      <c r="P100" s="28"/>
      <c r="Q100" s="29"/>
      <c r="R100" s="30"/>
      <c r="S100" s="28"/>
      <c r="T100" s="29"/>
      <c r="U100" s="30"/>
    </row>
    <row r="101" spans="2:21" s="31" customFormat="1" ht="51.5" hidden="1" customHeight="1">
      <c r="B101" s="24">
        <f>IF($C$12:C101&lt;&gt;"",COUNTA($C$12:C101),"")</f>
        <v>78</v>
      </c>
      <c r="C101" s="25" t="s">
        <v>924</v>
      </c>
      <c r="D101" s="26" t="s">
        <v>932</v>
      </c>
      <c r="E101" s="26" t="s">
        <v>933</v>
      </c>
      <c r="F101" s="27" t="s">
        <v>554</v>
      </c>
      <c r="G101" s="28">
        <v>44958</v>
      </c>
      <c r="H101" s="29" t="s">
        <v>1097</v>
      </c>
      <c r="I101" s="30" t="s">
        <v>1098</v>
      </c>
      <c r="J101" s="28"/>
      <c r="K101" s="29"/>
      <c r="L101" s="30"/>
      <c r="M101" s="28"/>
      <c r="N101" s="29"/>
      <c r="O101" s="30"/>
      <c r="P101" s="28"/>
      <c r="Q101" s="29"/>
      <c r="R101" s="30"/>
      <c r="S101" s="28"/>
      <c r="T101" s="29"/>
      <c r="U101" s="30"/>
    </row>
    <row r="102" spans="2:21" s="31" customFormat="1" ht="48" hidden="1" customHeight="1">
      <c r="B102" s="24">
        <f>IF($C$12:C102&lt;&gt;"",COUNTA($C$12:C102),"")</f>
        <v>79</v>
      </c>
      <c r="C102" s="25" t="s">
        <v>925</v>
      </c>
      <c r="D102" s="26" t="s">
        <v>932</v>
      </c>
      <c r="E102" s="26" t="s">
        <v>930</v>
      </c>
      <c r="F102" s="27" t="s">
        <v>554</v>
      </c>
      <c r="G102" s="28">
        <v>44958</v>
      </c>
      <c r="H102" s="29" t="s">
        <v>1097</v>
      </c>
      <c r="I102" s="30" t="s">
        <v>1098</v>
      </c>
      <c r="J102" s="28"/>
      <c r="K102" s="29"/>
      <c r="L102" s="30"/>
      <c r="M102" s="28"/>
      <c r="N102" s="29"/>
      <c r="O102" s="30"/>
      <c r="P102" s="28"/>
      <c r="Q102" s="29"/>
      <c r="R102" s="30"/>
      <c r="S102" s="28"/>
      <c r="T102" s="29"/>
      <c r="U102" s="30"/>
    </row>
    <row r="103" spans="2:21" s="31" customFormat="1" ht="90" hidden="1" customHeight="1">
      <c r="B103" s="24">
        <f>IF($C$12:C103&lt;&gt;"",COUNTA($C$12:C103),"")</f>
        <v>80</v>
      </c>
      <c r="C103" s="25" t="s">
        <v>926</v>
      </c>
      <c r="D103" s="26" t="s">
        <v>935</v>
      </c>
      <c r="E103" s="26" t="s">
        <v>937</v>
      </c>
      <c r="F103" s="27" t="s">
        <v>554</v>
      </c>
      <c r="G103" s="28">
        <v>44958</v>
      </c>
      <c r="H103" s="29" t="s">
        <v>1097</v>
      </c>
      <c r="I103" s="30" t="s">
        <v>1098</v>
      </c>
      <c r="J103" s="28"/>
      <c r="K103" s="29"/>
      <c r="L103" s="30"/>
      <c r="M103" s="28"/>
      <c r="N103" s="29"/>
      <c r="O103" s="30"/>
      <c r="P103" s="28"/>
      <c r="Q103" s="29"/>
      <c r="R103" s="30"/>
      <c r="S103" s="28"/>
      <c r="T103" s="29"/>
      <c r="U103" s="30"/>
    </row>
    <row r="104" spans="2:21" s="31" customFormat="1" ht="128.5" hidden="1" customHeight="1">
      <c r="B104" s="24">
        <f>IF($C$12:C104&lt;&gt;"",COUNTA($C$12:C104),"")</f>
        <v>81</v>
      </c>
      <c r="C104" s="25" t="s">
        <v>934</v>
      </c>
      <c r="D104" s="26" t="s">
        <v>938</v>
      </c>
      <c r="E104" s="26" t="s">
        <v>939</v>
      </c>
      <c r="F104" s="27" t="s">
        <v>554</v>
      </c>
      <c r="G104" s="28">
        <v>44958</v>
      </c>
      <c r="H104" s="29" t="s">
        <v>1097</v>
      </c>
      <c r="I104" s="30" t="s">
        <v>1098</v>
      </c>
      <c r="J104" s="28"/>
      <c r="K104" s="29"/>
      <c r="L104" s="30"/>
      <c r="M104" s="28"/>
      <c r="N104" s="29"/>
      <c r="O104" s="30"/>
      <c r="P104" s="28"/>
      <c r="Q104" s="29"/>
      <c r="R104" s="30"/>
      <c r="S104" s="28"/>
      <c r="T104" s="29"/>
      <c r="U104" s="30"/>
    </row>
    <row r="105" spans="2:21" s="31" customFormat="1" hidden="1">
      <c r="B105" s="24" t="str">
        <f>IF($C$12:C105&lt;&gt;"",COUNTA($C$12:C105),"")</f>
        <v/>
      </c>
      <c r="C105" s="25"/>
      <c r="D105" s="26"/>
      <c r="E105" s="26"/>
      <c r="F105" s="27"/>
      <c r="G105" s="28"/>
      <c r="H105" s="29"/>
      <c r="I105" s="30"/>
      <c r="J105" s="28"/>
      <c r="K105" s="29"/>
      <c r="L105" s="30"/>
      <c r="M105" s="28"/>
      <c r="N105" s="29"/>
      <c r="O105" s="30"/>
      <c r="P105" s="28"/>
      <c r="Q105" s="29"/>
      <c r="R105" s="30"/>
      <c r="S105" s="28"/>
      <c r="T105" s="29"/>
      <c r="U105" s="30"/>
    </row>
    <row r="106" spans="2:21" s="31" customFormat="1" hidden="1">
      <c r="B106" s="24" t="str">
        <f>IF($C$12:C106&lt;&gt;"",COUNTA($C$12:C106),"")</f>
        <v/>
      </c>
      <c r="C106" s="25"/>
      <c r="D106" s="26"/>
      <c r="E106" s="26"/>
      <c r="F106" s="27"/>
      <c r="G106" s="28"/>
      <c r="H106" s="29"/>
      <c r="I106" s="30"/>
      <c r="J106" s="28"/>
      <c r="K106" s="29"/>
      <c r="L106" s="30"/>
      <c r="M106" s="28"/>
      <c r="N106" s="29"/>
      <c r="O106" s="30"/>
      <c r="P106" s="28"/>
      <c r="Q106" s="29"/>
      <c r="R106" s="30"/>
      <c r="S106" s="28"/>
      <c r="T106" s="29"/>
      <c r="U106" s="30"/>
    </row>
  </sheetData>
  <autoFilter ref="B10:U106">
    <filterColumn colId="5">
      <filters>
        <dateGroupItem year="2023" month="2" day="2" dateTimeGrouping="day"/>
      </filters>
    </filterColumn>
  </autoFilter>
  <mergeCells count="14">
    <mergeCell ref="B95:F95"/>
    <mergeCell ref="B88:F88"/>
    <mergeCell ref="C8:F9"/>
    <mergeCell ref="G8:U8"/>
    <mergeCell ref="G9:I9"/>
    <mergeCell ref="J9:L9"/>
    <mergeCell ref="M9:O9"/>
    <mergeCell ref="P9:R9"/>
    <mergeCell ref="S9:U9"/>
    <mergeCell ref="B11:F11"/>
    <mergeCell ref="B23:F23"/>
    <mergeCell ref="B41:F41"/>
    <mergeCell ref="B53:F53"/>
    <mergeCell ref="B60:F60"/>
  </mergeCells>
  <phoneticPr fontId="11"/>
  <conditionalFormatting sqref="C12:D12 S12:U12 C106:U106 F12 C14 B37:B38 F25:F26 B87:U87 G22:U22 B22:E22 F14:F21 F28:F39 J37:U38 B61:F86 J61:U86 B89:F91 B92:E92 J89:U92">
    <cfRule type="expression" dxfId="440" priority="404" stopIfTrue="1">
      <formula>IF($F12="低",1,0)</formula>
    </cfRule>
  </conditionalFormatting>
  <conditionalFormatting sqref="F12 F61:F87 F89:F91 F25:F26 F106 F14:F21 F28:F39">
    <cfRule type="expression" dxfId="439" priority="403" stopIfTrue="1">
      <formula>IF($F12="高",1,0)</formula>
    </cfRule>
  </conditionalFormatting>
  <conditionalFormatting sqref="B106">
    <cfRule type="expression" dxfId="438" priority="402" stopIfTrue="1">
      <formula>IF($F106="低",1,0)</formula>
    </cfRule>
  </conditionalFormatting>
  <conditionalFormatting sqref="M12:O12">
    <cfRule type="expression" dxfId="437" priority="401" stopIfTrue="1">
      <formula>IF($F12="低",1,0)</formula>
    </cfRule>
  </conditionalFormatting>
  <conditionalFormatting sqref="P12:R12">
    <cfRule type="expression" dxfId="436" priority="400" stopIfTrue="1">
      <formula>IF($F12="低",1,0)</formula>
    </cfRule>
  </conditionalFormatting>
  <conditionalFormatting sqref="B44">
    <cfRule type="expression" dxfId="435" priority="396" stopIfTrue="1">
      <formula>IF($F44="低",1,0)</formula>
    </cfRule>
  </conditionalFormatting>
  <conditionalFormatting sqref="P44:R44">
    <cfRule type="expression" dxfId="434" priority="395" stopIfTrue="1">
      <formula>IF($F44="低",1,0)</formula>
    </cfRule>
  </conditionalFormatting>
  <conditionalFormatting sqref="J44:L44">
    <cfRule type="expression" dxfId="433" priority="394" stopIfTrue="1">
      <formula>IF($F44="低",1,0)</formula>
    </cfRule>
  </conditionalFormatting>
  <conditionalFormatting sqref="S44:U44">
    <cfRule type="expression" dxfId="432" priority="393" stopIfTrue="1">
      <formula>IF($F44="低",1,0)</formula>
    </cfRule>
  </conditionalFormatting>
  <conditionalFormatting sqref="J56:L56">
    <cfRule type="expression" dxfId="431" priority="352" stopIfTrue="1">
      <formula>IF($F56="低",1,0)</formula>
    </cfRule>
  </conditionalFormatting>
  <conditionalFormatting sqref="B14">
    <cfRule type="expression" dxfId="430" priority="385" stopIfTrue="1">
      <formula>IF($F14="低",1,0)</formula>
    </cfRule>
  </conditionalFormatting>
  <conditionalFormatting sqref="P14:R14">
    <cfRule type="expression" dxfId="429" priority="384" stopIfTrue="1">
      <formula>IF($F14="低",1,0)</formula>
    </cfRule>
  </conditionalFormatting>
  <conditionalFormatting sqref="S14:U14">
    <cfRule type="expression" dxfId="428" priority="383" stopIfTrue="1">
      <formula>IF($F14="低",1,0)</formula>
    </cfRule>
  </conditionalFormatting>
  <conditionalFormatting sqref="M14:O14">
    <cfRule type="expression" dxfId="426" priority="379" stopIfTrue="1">
      <formula>IF($F14="低",1,0)</formula>
    </cfRule>
  </conditionalFormatting>
  <conditionalFormatting sqref="M44:O44">
    <cfRule type="expression" dxfId="425" priority="378" stopIfTrue="1">
      <formula>IF($F44="低",1,0)</formula>
    </cfRule>
  </conditionalFormatting>
  <conditionalFormatting sqref="D58:D59">
    <cfRule type="expression" dxfId="424" priority="366" stopIfTrue="1">
      <formula>IF($F58="低",1,0)</formula>
    </cfRule>
  </conditionalFormatting>
  <conditionalFormatting sqref="D56">
    <cfRule type="expression" dxfId="423" priority="350" stopIfTrue="1">
      <formula>IF($F56="低",1,0)</formula>
    </cfRule>
  </conditionalFormatting>
  <conditionalFormatting sqref="J12:L12">
    <cfRule type="expression" dxfId="422" priority="374" stopIfTrue="1">
      <formula>IF($F12="低",1,0)</formula>
    </cfRule>
  </conditionalFormatting>
  <conditionalFormatting sqref="J14:L14">
    <cfRule type="expression" dxfId="421" priority="373" stopIfTrue="1">
      <formula>IF($F14="低",1,0)</formula>
    </cfRule>
  </conditionalFormatting>
  <conditionalFormatting sqref="F58:F59">
    <cfRule type="expression" dxfId="420" priority="372" stopIfTrue="1">
      <formula>IF($F58="低",1,0)</formula>
    </cfRule>
  </conditionalFormatting>
  <conditionalFormatting sqref="F58:F59">
    <cfRule type="expression" dxfId="419" priority="371" stopIfTrue="1">
      <formula>IF($F58="高",1,0)</formula>
    </cfRule>
  </conditionalFormatting>
  <conditionalFormatting sqref="B58:B59">
    <cfRule type="expression" dxfId="418" priority="370" stopIfTrue="1">
      <formula>IF($F58="低",1,0)</formula>
    </cfRule>
  </conditionalFormatting>
  <conditionalFormatting sqref="P58:R59">
    <cfRule type="expression" dxfId="417" priority="369" stopIfTrue="1">
      <formula>IF($F58="低",1,0)</formula>
    </cfRule>
  </conditionalFormatting>
  <conditionalFormatting sqref="J58:L59">
    <cfRule type="expression" dxfId="416" priority="368" stopIfTrue="1">
      <formula>IF($F58="低",1,0)</formula>
    </cfRule>
  </conditionalFormatting>
  <conditionalFormatting sqref="S58:U59">
    <cfRule type="expression" dxfId="415" priority="367" stopIfTrue="1">
      <formula>IF($F58="低",1,0)</formula>
    </cfRule>
  </conditionalFormatting>
  <conditionalFormatting sqref="C59">
    <cfRule type="expression" dxfId="414" priority="365" stopIfTrue="1">
      <formula>IF($F59="低",1,0)</formula>
    </cfRule>
  </conditionalFormatting>
  <conditionalFormatting sqref="E58:E59">
    <cfRule type="expression" dxfId="413" priority="364" stopIfTrue="1">
      <formula>IF($F58="低",1,0)</formula>
    </cfRule>
  </conditionalFormatting>
  <conditionalFormatting sqref="G59:I59">
    <cfRule type="expression" dxfId="412" priority="363" stopIfTrue="1">
      <formula>IF($F59="低",1,0)</formula>
    </cfRule>
  </conditionalFormatting>
  <conditionalFormatting sqref="M58:O59">
    <cfRule type="expression" dxfId="411" priority="362" stopIfTrue="1">
      <formula>IF($F58="低",1,0)</formula>
    </cfRule>
  </conditionalFormatting>
  <conditionalFormatting sqref="E12">
    <cfRule type="expression" dxfId="410" priority="361" stopIfTrue="1">
      <formula>IF($F12="低",1,0)</formula>
    </cfRule>
  </conditionalFormatting>
  <conditionalFormatting sqref="C54:D54 S54:U54 F56 F54 C55:C56">
    <cfRule type="expression" dxfId="409" priority="358" stopIfTrue="1">
      <formula>IF($F54="低",1,0)</formula>
    </cfRule>
  </conditionalFormatting>
  <conditionalFormatting sqref="F54 F56">
    <cfRule type="expression" dxfId="408" priority="357" stopIfTrue="1">
      <formula>IF($F54="高",1,0)</formula>
    </cfRule>
  </conditionalFormatting>
  <conditionalFormatting sqref="M54:O54">
    <cfRule type="expression" dxfId="407" priority="356" stopIfTrue="1">
      <formula>IF($F54="低",1,0)</formula>
    </cfRule>
  </conditionalFormatting>
  <conditionalFormatting sqref="P54:R54">
    <cfRule type="expression" dxfId="406" priority="355" stopIfTrue="1">
      <formula>IF($F54="低",1,0)</formula>
    </cfRule>
  </conditionalFormatting>
  <conditionalFormatting sqref="B56">
    <cfRule type="expression" dxfId="405" priority="354" stopIfTrue="1">
      <formula>IF($F56="低",1,0)</formula>
    </cfRule>
  </conditionalFormatting>
  <conditionalFormatting sqref="P56:R56">
    <cfRule type="expression" dxfId="404" priority="353" stopIfTrue="1">
      <formula>IF($F56="低",1,0)</formula>
    </cfRule>
  </conditionalFormatting>
  <conditionalFormatting sqref="S56:U56">
    <cfRule type="expression" dxfId="403" priority="351" stopIfTrue="1">
      <formula>IF($F56="低",1,0)</formula>
    </cfRule>
  </conditionalFormatting>
  <conditionalFormatting sqref="C16">
    <cfRule type="expression" dxfId="402" priority="322" stopIfTrue="1">
      <formula>IF($F16="低",1,0)</formula>
    </cfRule>
  </conditionalFormatting>
  <conditionalFormatting sqref="E56">
    <cfRule type="expression" dxfId="401" priority="349" stopIfTrue="1">
      <formula>IF($F56="低",1,0)</formula>
    </cfRule>
  </conditionalFormatting>
  <conditionalFormatting sqref="E55">
    <cfRule type="expression" dxfId="400" priority="343" stopIfTrue="1">
      <formula>IF($F55="低",1,0)</formula>
    </cfRule>
  </conditionalFormatting>
  <conditionalFormatting sqref="B55">
    <cfRule type="expression" dxfId="399" priority="348" stopIfTrue="1">
      <formula>IF($F55="低",1,0)</formula>
    </cfRule>
  </conditionalFormatting>
  <conditionalFormatting sqref="P55:R55">
    <cfRule type="expression" dxfId="398" priority="347" stopIfTrue="1">
      <formula>IF($F55="低",1,0)</formula>
    </cfRule>
  </conditionalFormatting>
  <conditionalFormatting sqref="F55">
    <cfRule type="expression" dxfId="397" priority="346" stopIfTrue="1">
      <formula>IF($F55="低",1,0)</formula>
    </cfRule>
  </conditionalFormatting>
  <conditionalFormatting sqref="F55">
    <cfRule type="expression" dxfId="396" priority="345" stopIfTrue="1">
      <formula>IF($F55="高",1,0)</formula>
    </cfRule>
  </conditionalFormatting>
  <conditionalFormatting sqref="S55:U55">
    <cfRule type="expression" dxfId="395" priority="344" stopIfTrue="1">
      <formula>IF($F55="低",1,0)</formula>
    </cfRule>
  </conditionalFormatting>
  <conditionalFormatting sqref="M55:O55">
    <cfRule type="expression" dxfId="394" priority="341" stopIfTrue="1">
      <formula>IF($F55="低",1,0)</formula>
    </cfRule>
  </conditionalFormatting>
  <conditionalFormatting sqref="M56:O56">
    <cfRule type="expression" dxfId="393" priority="340" stopIfTrue="1">
      <formula>IF($F56="低",1,0)</formula>
    </cfRule>
  </conditionalFormatting>
  <conditionalFormatting sqref="D55">
    <cfRule type="expression" dxfId="392" priority="339" stopIfTrue="1">
      <formula>IF($F55="低",1,0)</formula>
    </cfRule>
  </conditionalFormatting>
  <conditionalFormatting sqref="J54:L54">
    <cfRule type="expression" dxfId="391" priority="337" stopIfTrue="1">
      <formula>IF($F54="低",1,0)</formula>
    </cfRule>
  </conditionalFormatting>
  <conditionalFormatting sqref="J55:L55">
    <cfRule type="expression" dxfId="390" priority="336" stopIfTrue="1">
      <formula>IF($F55="低",1,0)</formula>
    </cfRule>
  </conditionalFormatting>
  <conditionalFormatting sqref="E54">
    <cfRule type="expression" dxfId="389" priority="335" stopIfTrue="1">
      <formula>IF($F54="低",1,0)</formula>
    </cfRule>
  </conditionalFormatting>
  <conditionalFormatting sqref="B12">
    <cfRule type="expression" dxfId="388" priority="359" stopIfTrue="1">
      <formula>IF($F12="低",1,0)</formula>
    </cfRule>
  </conditionalFormatting>
  <conditionalFormatting sqref="M15:O21">
    <cfRule type="expression" dxfId="387" priority="329" stopIfTrue="1">
      <formula>IF($F15="低",1,0)</formula>
    </cfRule>
  </conditionalFormatting>
  <conditionalFormatting sqref="B54">
    <cfRule type="expression" dxfId="386" priority="334" stopIfTrue="1">
      <formula>IF($F54="低",1,0)</formula>
    </cfRule>
  </conditionalFormatting>
  <conditionalFormatting sqref="B15:B21">
    <cfRule type="expression" dxfId="385" priority="333" stopIfTrue="1">
      <formula>IF($F15="低",1,0)</formula>
    </cfRule>
  </conditionalFormatting>
  <conditionalFormatting sqref="P15:R21">
    <cfRule type="expression" dxfId="384" priority="332" stopIfTrue="1">
      <formula>IF($F15="低",1,0)</formula>
    </cfRule>
  </conditionalFormatting>
  <conditionalFormatting sqref="S15:U21">
    <cfRule type="expression" dxfId="383" priority="331" stopIfTrue="1">
      <formula>IF($F15="低",1,0)</formula>
    </cfRule>
  </conditionalFormatting>
  <conditionalFormatting sqref="P25:R25">
    <cfRule type="expression" dxfId="382" priority="315" stopIfTrue="1">
      <formula>IF($F25="低",1,0)</formula>
    </cfRule>
  </conditionalFormatting>
  <conditionalFormatting sqref="E15:E21">
    <cfRule type="expression" dxfId="381" priority="330" stopIfTrue="1">
      <formula>IF($F15="低",1,0)</formula>
    </cfRule>
  </conditionalFormatting>
  <conditionalFormatting sqref="D15:D21">
    <cfRule type="expression" dxfId="380" priority="328" stopIfTrue="1">
      <formula>IF($F15="低",1,0)</formula>
    </cfRule>
  </conditionalFormatting>
  <conditionalFormatting sqref="J15:L21">
    <cfRule type="expression" dxfId="379" priority="326" stopIfTrue="1">
      <formula>IF($F15="低",1,0)</formula>
    </cfRule>
  </conditionalFormatting>
  <conditionalFormatting sqref="E14">
    <cfRule type="expression" dxfId="378" priority="325" stopIfTrue="1">
      <formula>IF($F14="低",1,0)</formula>
    </cfRule>
  </conditionalFormatting>
  <conditionalFormatting sqref="D14">
    <cfRule type="expression" dxfId="377" priority="324" stopIfTrue="1">
      <formula>IF($F14="低",1,0)</formula>
    </cfRule>
  </conditionalFormatting>
  <conditionalFormatting sqref="C15">
    <cfRule type="expression" dxfId="376" priority="323" stopIfTrue="1">
      <formula>IF($F15="低",1,0)</formula>
    </cfRule>
  </conditionalFormatting>
  <conditionalFormatting sqref="C17">
    <cfRule type="expression" dxfId="375" priority="321" stopIfTrue="1">
      <formula>IF($F17="低",1,0)</formula>
    </cfRule>
  </conditionalFormatting>
  <conditionalFormatting sqref="C18">
    <cfRule type="expression" dxfId="374" priority="320" stopIfTrue="1">
      <formula>IF($F18="低",1,0)</formula>
    </cfRule>
  </conditionalFormatting>
  <conditionalFormatting sqref="C19">
    <cfRule type="expression" dxfId="373" priority="319" stopIfTrue="1">
      <formula>IF($F19="低",1,0)</formula>
    </cfRule>
  </conditionalFormatting>
  <conditionalFormatting sqref="C20">
    <cfRule type="expression" dxfId="372" priority="318" stopIfTrue="1">
      <formula>IF($F20="低",1,0)</formula>
    </cfRule>
  </conditionalFormatting>
  <conditionalFormatting sqref="B25">
    <cfRule type="expression" dxfId="371" priority="316" stopIfTrue="1">
      <formula>IF($F25="低",1,0)</formula>
    </cfRule>
  </conditionalFormatting>
  <conditionalFormatting sqref="J25:L25">
    <cfRule type="expression" dxfId="370" priority="307" stopIfTrue="1">
      <formula>IF($F25="低",1,0)</formula>
    </cfRule>
  </conditionalFormatting>
  <conditionalFormatting sqref="F22">
    <cfRule type="expression" dxfId="369" priority="314" stopIfTrue="1">
      <formula>IF($F22="低",1,0)</formula>
    </cfRule>
  </conditionalFormatting>
  <conditionalFormatting sqref="S25:U25">
    <cfRule type="expression" dxfId="368" priority="312" stopIfTrue="1">
      <formula>IF($F25="低",1,0)</formula>
    </cfRule>
  </conditionalFormatting>
  <conditionalFormatting sqref="E25">
    <cfRule type="expression" dxfId="367" priority="311" stopIfTrue="1">
      <formula>IF($F25="低",1,0)</formula>
    </cfRule>
  </conditionalFormatting>
  <conditionalFormatting sqref="M25:O25">
    <cfRule type="expression" dxfId="366" priority="310" stopIfTrue="1">
      <formula>IF($F25="低",1,0)</formula>
    </cfRule>
  </conditionalFormatting>
  <conditionalFormatting sqref="D25">
    <cfRule type="expression" dxfId="365" priority="309" stopIfTrue="1">
      <formula>IF($F25="低",1,0)</formula>
    </cfRule>
  </conditionalFormatting>
  <conditionalFormatting sqref="C21">
    <cfRule type="expression" dxfId="364" priority="317" stopIfTrue="1">
      <formula>IF($F21="低",1,0)</formula>
    </cfRule>
  </conditionalFormatting>
  <conditionalFormatting sqref="F22">
    <cfRule type="expression" dxfId="363" priority="313" stopIfTrue="1">
      <formula>IF($F22="高",1,0)</formula>
    </cfRule>
  </conditionalFormatting>
  <conditionalFormatting sqref="C25">
    <cfRule type="expression" dxfId="362" priority="306" stopIfTrue="1">
      <formula>IF($F25="低",1,0)</formula>
    </cfRule>
  </conditionalFormatting>
  <conditionalFormatting sqref="P26:R26 P31:R31 P28:R28">
    <cfRule type="expression" dxfId="361" priority="304" stopIfTrue="1">
      <formula>IF($F26="低",1,0)</formula>
    </cfRule>
  </conditionalFormatting>
  <conditionalFormatting sqref="B26 B31 B28">
    <cfRule type="expression" dxfId="360" priority="305" stopIfTrue="1">
      <formula>IF($F26="低",1,0)</formula>
    </cfRule>
  </conditionalFormatting>
  <conditionalFormatting sqref="J26:L26 J31:L31 J28:L28">
    <cfRule type="expression" dxfId="359" priority="297" stopIfTrue="1">
      <formula>IF($F26="低",1,0)</formula>
    </cfRule>
  </conditionalFormatting>
  <conditionalFormatting sqref="S26:U26 S31:U31 S28:U28">
    <cfRule type="expression" dxfId="358" priority="301" stopIfTrue="1">
      <formula>IF($F26="低",1,0)</formula>
    </cfRule>
  </conditionalFormatting>
  <conditionalFormatting sqref="E28">
    <cfRule type="expression" dxfId="357" priority="300" stopIfTrue="1">
      <formula>IF($F28="低",1,0)</formula>
    </cfRule>
  </conditionalFormatting>
  <conditionalFormatting sqref="M26:O26 M31:O31 M28:O28">
    <cfRule type="expression" dxfId="356" priority="299" stopIfTrue="1">
      <formula>IF($F26="低",1,0)</formula>
    </cfRule>
  </conditionalFormatting>
  <conditionalFormatting sqref="E37">
    <cfRule type="expression" dxfId="355" priority="269" stopIfTrue="1">
      <formula>IF($F37="低",1,0)</formula>
    </cfRule>
  </conditionalFormatting>
  <conditionalFormatting sqref="E33:E36">
    <cfRule type="expression" dxfId="354" priority="287" stopIfTrue="1">
      <formula>IF($F33="低",1,0)</formula>
    </cfRule>
  </conditionalFormatting>
  <conditionalFormatting sqref="D34">
    <cfRule type="expression" dxfId="353" priority="276" stopIfTrue="1">
      <formula>IF($F34="低",1,0)</formula>
    </cfRule>
  </conditionalFormatting>
  <conditionalFormatting sqref="D28">
    <cfRule type="expression" dxfId="352" priority="294" stopIfTrue="1">
      <formula>IF($F28="低",1,0)</formula>
    </cfRule>
  </conditionalFormatting>
  <conditionalFormatting sqref="P32:R36">
    <cfRule type="expression" dxfId="351" priority="291" stopIfTrue="1">
      <formula>IF($F32="低",1,0)</formula>
    </cfRule>
  </conditionalFormatting>
  <conditionalFormatting sqref="B32:B36">
    <cfRule type="expression" dxfId="350" priority="292" stopIfTrue="1">
      <formula>IF($F32="低",1,0)</formula>
    </cfRule>
  </conditionalFormatting>
  <conditionalFormatting sqref="J32:L36">
    <cfRule type="expression" dxfId="349" priority="284" stopIfTrue="1">
      <formula>IF($F32="低",1,0)</formula>
    </cfRule>
  </conditionalFormatting>
  <conditionalFormatting sqref="S32:U36">
    <cfRule type="expression" dxfId="348" priority="288" stopIfTrue="1">
      <formula>IF($F32="低",1,0)</formula>
    </cfRule>
  </conditionalFormatting>
  <conditionalFormatting sqref="M32:O36">
    <cfRule type="expression" dxfId="347" priority="286" stopIfTrue="1">
      <formula>IF($F32="低",1,0)</formula>
    </cfRule>
  </conditionalFormatting>
  <conditionalFormatting sqref="G35:I36">
    <cfRule type="expression" dxfId="346" priority="285" stopIfTrue="1">
      <formula>IF($F35="低",1,0)</formula>
    </cfRule>
  </conditionalFormatting>
  <conditionalFormatting sqref="C33:C35">
    <cfRule type="expression" dxfId="345" priority="283" stopIfTrue="1">
      <formula>IF($F33="低",1,0)</formula>
    </cfRule>
  </conditionalFormatting>
  <conditionalFormatting sqref="C28">
    <cfRule type="expression" dxfId="344" priority="277" stopIfTrue="1">
      <formula>IF($F28="低",1,0)</formula>
    </cfRule>
  </conditionalFormatting>
  <conditionalFormatting sqref="P39:R40 P42:R42">
    <cfRule type="expression" dxfId="343" priority="259" stopIfTrue="1">
      <formula>IF($F39="低",1,0)</formula>
    </cfRule>
  </conditionalFormatting>
  <conditionalFormatting sqref="D33">
    <cfRule type="expression" dxfId="342" priority="279" stopIfTrue="1">
      <formula>IF($F33="低",1,0)</formula>
    </cfRule>
  </conditionalFormatting>
  <conditionalFormatting sqref="P43:R43">
    <cfRule type="expression" dxfId="341" priority="273" stopIfTrue="1">
      <formula>IF($F43="低",1,0)</formula>
    </cfRule>
  </conditionalFormatting>
  <conditionalFormatting sqref="J43:L43">
    <cfRule type="expression" dxfId="340" priority="266" stopIfTrue="1">
      <formula>IF($F43="低",1,0)</formula>
    </cfRule>
  </conditionalFormatting>
  <conditionalFormatting sqref="C37">
    <cfRule type="expression" dxfId="339" priority="262" stopIfTrue="1">
      <formula>IF($F37="低",1,0)</formula>
    </cfRule>
  </conditionalFormatting>
  <conditionalFormatting sqref="B43">
    <cfRule type="expression" dxfId="338" priority="274" stopIfTrue="1">
      <formula>IF($F43="低",1,0)</formula>
    </cfRule>
  </conditionalFormatting>
  <conditionalFormatting sqref="S43:U43">
    <cfRule type="expression" dxfId="337" priority="270" stopIfTrue="1">
      <formula>IF($F43="低",1,0)</formula>
    </cfRule>
  </conditionalFormatting>
  <conditionalFormatting sqref="M43:O43">
    <cfRule type="expression" dxfId="336" priority="268" stopIfTrue="1">
      <formula>IF($F43="低",1,0)</formula>
    </cfRule>
  </conditionalFormatting>
  <conditionalFormatting sqref="C38">
    <cfRule type="expression" dxfId="334" priority="265" stopIfTrue="1">
      <formula>IF($F38="低",1,0)</formula>
    </cfRule>
  </conditionalFormatting>
  <conditionalFormatting sqref="D43">
    <cfRule type="expression" dxfId="333" priority="264" stopIfTrue="1">
      <formula>IF($F43="低",1,0)</formula>
    </cfRule>
  </conditionalFormatting>
  <conditionalFormatting sqref="B39:B40 B42">
    <cfRule type="expression" dxfId="332" priority="260" stopIfTrue="1">
      <formula>IF($F39="低",1,0)</formula>
    </cfRule>
  </conditionalFormatting>
  <conditionalFormatting sqref="J39:L40 J42:L42">
    <cfRule type="expression" dxfId="331" priority="252" stopIfTrue="1">
      <formula>IF($F39="低",1,0)</formula>
    </cfRule>
  </conditionalFormatting>
  <conditionalFormatting sqref="F40">
    <cfRule type="expression" dxfId="330" priority="258" stopIfTrue="1">
      <formula>IF($F40="低",1,0)</formula>
    </cfRule>
  </conditionalFormatting>
  <conditionalFormatting sqref="S39:U40 S42:U42">
    <cfRule type="expression" dxfId="329" priority="256" stopIfTrue="1">
      <formula>IF($F39="低",1,0)</formula>
    </cfRule>
  </conditionalFormatting>
  <conditionalFormatting sqref="E39:E40">
    <cfRule type="expression" dxfId="328" priority="255" stopIfTrue="1">
      <formula>IF($F39="低",1,0)</formula>
    </cfRule>
  </conditionalFormatting>
  <conditionalFormatting sqref="M39:O40 M42:O42">
    <cfRule type="expression" dxfId="327" priority="254" stopIfTrue="1">
      <formula>IF($F39="低",1,0)</formula>
    </cfRule>
  </conditionalFormatting>
  <conditionalFormatting sqref="G40:I40 G42:H42">
    <cfRule type="expression" dxfId="326" priority="253" stopIfTrue="1">
      <formula>IF($F40="低",1,0)</formula>
    </cfRule>
  </conditionalFormatting>
  <conditionalFormatting sqref="F40">
    <cfRule type="expression" dxfId="325" priority="257" stopIfTrue="1">
      <formula>IF($F40="高",1,0)</formula>
    </cfRule>
  </conditionalFormatting>
  <conditionalFormatting sqref="C39:C40 C42">
    <cfRule type="expression" dxfId="324" priority="251" stopIfTrue="1">
      <formula>IF($F39="低",1,0)</formula>
    </cfRule>
  </conditionalFormatting>
  <conditionalFormatting sqref="D39:D40">
    <cfRule type="expression" dxfId="323" priority="250" stopIfTrue="1">
      <formula>IF($F39="低",1,0)</formula>
    </cfRule>
  </conditionalFormatting>
  <conditionalFormatting sqref="J47:L48">
    <cfRule type="expression" dxfId="322" priority="208" stopIfTrue="1">
      <formula>IF($F47="低",1,0)</formula>
    </cfRule>
  </conditionalFormatting>
  <conditionalFormatting sqref="M13:O13">
    <cfRule type="expression" dxfId="321" priority="180" stopIfTrue="1">
      <formula>IF($F13="低",1,0)</formula>
    </cfRule>
  </conditionalFormatting>
  <conditionalFormatting sqref="P51:R51">
    <cfRule type="expression" dxfId="320" priority="192" stopIfTrue="1">
      <formula>IF($F51="低",1,0)</formula>
    </cfRule>
  </conditionalFormatting>
  <conditionalFormatting sqref="C52 F52">
    <cfRule type="expression" dxfId="319" priority="229" stopIfTrue="1">
      <formula>IF($F52="低",1,0)</formula>
    </cfRule>
  </conditionalFormatting>
  <conditionalFormatting sqref="F52">
    <cfRule type="expression" dxfId="318" priority="228" stopIfTrue="1">
      <formula>IF($F52="高",1,0)</formula>
    </cfRule>
  </conditionalFormatting>
  <conditionalFormatting sqref="B45:B46 B49 B52">
    <cfRule type="expression" dxfId="317" priority="227" stopIfTrue="1">
      <formula>IF($F45="低",1,0)</formula>
    </cfRule>
  </conditionalFormatting>
  <conditionalFormatting sqref="P45:R46 P49:R49 P52:R52">
    <cfRule type="expression" dxfId="316" priority="226" stopIfTrue="1">
      <formula>IF($F45="低",1,0)</formula>
    </cfRule>
  </conditionalFormatting>
  <conditionalFormatting sqref="J45:L46 J49:L49 J52:L52">
    <cfRule type="expression" dxfId="315" priority="225" stopIfTrue="1">
      <formula>IF($F45="低",1,0)</formula>
    </cfRule>
  </conditionalFormatting>
  <conditionalFormatting sqref="S45:U46 S49:U49 S52:U52">
    <cfRule type="expression" dxfId="314" priority="224" stopIfTrue="1">
      <formula>IF($F45="低",1,0)</formula>
    </cfRule>
  </conditionalFormatting>
  <conditionalFormatting sqref="D52">
    <cfRule type="expression" dxfId="313" priority="223" stopIfTrue="1">
      <formula>IF($F52="低",1,0)</formula>
    </cfRule>
  </conditionalFormatting>
  <conditionalFormatting sqref="E52">
    <cfRule type="expression" dxfId="312" priority="222" stopIfTrue="1">
      <formula>IF($F52="低",1,0)</formula>
    </cfRule>
  </conditionalFormatting>
  <conditionalFormatting sqref="G52:I52">
    <cfRule type="expression" dxfId="311" priority="221" stopIfTrue="1">
      <formula>IF($F52="低",1,0)</formula>
    </cfRule>
  </conditionalFormatting>
  <conditionalFormatting sqref="M45:O46 M49:O49 M52:O52">
    <cfRule type="expression" dxfId="310" priority="220" stopIfTrue="1">
      <formula>IF($F45="低",1,0)</formula>
    </cfRule>
  </conditionalFormatting>
  <conditionalFormatting sqref="C13:D13 S13:U13 F13">
    <cfRule type="expression" dxfId="309" priority="182" stopIfTrue="1">
      <formula>IF($F13="低",1,0)</formula>
    </cfRule>
  </conditionalFormatting>
  <conditionalFormatting sqref="B47:B48">
    <cfRule type="expression" dxfId="308" priority="210" stopIfTrue="1">
      <formula>IF($F47="低",1,0)</formula>
    </cfRule>
  </conditionalFormatting>
  <conditionalFormatting sqref="P47:R48">
    <cfRule type="expression" dxfId="307" priority="209" stopIfTrue="1">
      <formula>IF($F47="低",1,0)</formula>
    </cfRule>
  </conditionalFormatting>
  <conditionalFormatting sqref="S47:U48">
    <cfRule type="expression" dxfId="305" priority="207" stopIfTrue="1">
      <formula>IF($F47="低",1,0)</formula>
    </cfRule>
  </conditionalFormatting>
  <conditionalFormatting sqref="E26">
    <cfRule type="expression" dxfId="304" priority="173" stopIfTrue="1">
      <formula>IF($F26="低",1,0)</formula>
    </cfRule>
  </conditionalFormatting>
  <conditionalFormatting sqref="M47:O48">
    <cfRule type="expression" dxfId="302" priority="205" stopIfTrue="1">
      <formula>IF($F47="低",1,0)</formula>
    </cfRule>
  </conditionalFormatting>
  <conditionalFormatting sqref="B51">
    <cfRule type="expression" dxfId="301" priority="193" stopIfTrue="1">
      <formula>IF($F51="低",1,0)</formula>
    </cfRule>
  </conditionalFormatting>
  <conditionalFormatting sqref="J51:L51">
    <cfRule type="expression" dxfId="300" priority="191" stopIfTrue="1">
      <formula>IF($F51="低",1,0)</formula>
    </cfRule>
  </conditionalFormatting>
  <conditionalFormatting sqref="C26">
    <cfRule type="expression" dxfId="299" priority="175" stopIfTrue="1">
      <formula>IF($F26="低",1,0)</formula>
    </cfRule>
  </conditionalFormatting>
  <conditionalFormatting sqref="D26">
    <cfRule type="expression" dxfId="298" priority="174" stopIfTrue="1">
      <formula>IF($F26="低",1,0)</formula>
    </cfRule>
  </conditionalFormatting>
  <conditionalFormatting sqref="D31">
    <cfRule type="expression" dxfId="297" priority="172" stopIfTrue="1">
      <formula>IF($F31="低",1,0)</formula>
    </cfRule>
  </conditionalFormatting>
  <conditionalFormatting sqref="S51:U51">
    <cfRule type="expression" dxfId="296" priority="190" stopIfTrue="1">
      <formula>IF($F51="低",1,0)</formula>
    </cfRule>
  </conditionalFormatting>
  <conditionalFormatting sqref="M51:O51">
    <cfRule type="expression" dxfId="295" priority="188" stopIfTrue="1">
      <formula>IF($F51="低",1,0)</formula>
    </cfRule>
  </conditionalFormatting>
  <conditionalFormatting sqref="F13">
    <cfRule type="expression" dxfId="294" priority="181" stopIfTrue="1">
      <formula>IF($F13="高",1,0)</formula>
    </cfRule>
  </conditionalFormatting>
  <conditionalFormatting sqref="P13:R13">
    <cfRule type="expression" dxfId="293" priority="179" stopIfTrue="1">
      <formula>IF($F13="低",1,0)</formula>
    </cfRule>
  </conditionalFormatting>
  <conditionalFormatting sqref="J13:L13">
    <cfRule type="expression" dxfId="292" priority="178" stopIfTrue="1">
      <formula>IF($F13="低",1,0)</formula>
    </cfRule>
  </conditionalFormatting>
  <conditionalFormatting sqref="E13">
    <cfRule type="expression" dxfId="291" priority="177" stopIfTrue="1">
      <formula>IF($F13="低",1,0)</formula>
    </cfRule>
  </conditionalFormatting>
  <conditionalFormatting sqref="B13">
    <cfRule type="expression" dxfId="290" priority="176" stopIfTrue="1">
      <formula>IF($F13="低",1,0)</formula>
    </cfRule>
  </conditionalFormatting>
  <conditionalFormatting sqref="C31">
    <cfRule type="expression" dxfId="289" priority="171" stopIfTrue="1">
      <formula>IF($F31="低",1,0)</formula>
    </cfRule>
  </conditionalFormatting>
  <conditionalFormatting sqref="E31">
    <cfRule type="expression" dxfId="288" priority="170" stopIfTrue="1">
      <formula>IF($F31="低",1,0)</formula>
    </cfRule>
  </conditionalFormatting>
  <conditionalFormatting sqref="E32">
    <cfRule type="expression" dxfId="287" priority="169" stopIfTrue="1">
      <formula>IF($F32="低",1,0)</formula>
    </cfRule>
  </conditionalFormatting>
  <conditionalFormatting sqref="C32">
    <cfRule type="expression" dxfId="286" priority="168" stopIfTrue="1">
      <formula>IF($F32="低",1,0)</formula>
    </cfRule>
  </conditionalFormatting>
  <conditionalFormatting sqref="D32">
    <cfRule type="expression" dxfId="285" priority="167" stopIfTrue="1">
      <formula>IF($F32="低",1,0)</formula>
    </cfRule>
  </conditionalFormatting>
  <conditionalFormatting sqref="P29:R29">
    <cfRule type="expression" dxfId="284" priority="165" stopIfTrue="1">
      <formula>IF($F29="低",1,0)</formula>
    </cfRule>
  </conditionalFormatting>
  <conditionalFormatting sqref="B29">
    <cfRule type="expression" dxfId="283" priority="166" stopIfTrue="1">
      <formula>IF($F29="低",1,0)</formula>
    </cfRule>
  </conditionalFormatting>
  <conditionalFormatting sqref="J29:L29">
    <cfRule type="expression" dxfId="282" priority="158" stopIfTrue="1">
      <formula>IF($F29="低",1,0)</formula>
    </cfRule>
  </conditionalFormatting>
  <conditionalFormatting sqref="S29:U29">
    <cfRule type="expression" dxfId="281" priority="162" stopIfTrue="1">
      <formula>IF($F29="低",1,0)</formula>
    </cfRule>
  </conditionalFormatting>
  <conditionalFormatting sqref="E29">
    <cfRule type="expression" dxfId="280" priority="161" stopIfTrue="1">
      <formula>IF($F29="低",1,0)</formula>
    </cfRule>
  </conditionalFormatting>
  <conditionalFormatting sqref="M29:O29">
    <cfRule type="expression" dxfId="279" priority="160" stopIfTrue="1">
      <formula>IF($F29="低",1,0)</formula>
    </cfRule>
  </conditionalFormatting>
  <conditionalFormatting sqref="D29">
    <cfRule type="expression" dxfId="278" priority="157" stopIfTrue="1">
      <formula>IF($F29="低",1,0)</formula>
    </cfRule>
  </conditionalFormatting>
  <conditionalFormatting sqref="C29">
    <cfRule type="expression" dxfId="277" priority="156" stopIfTrue="1">
      <formula>IF($F29="低",1,0)</formula>
    </cfRule>
  </conditionalFormatting>
  <conditionalFormatting sqref="P30:R30">
    <cfRule type="expression" dxfId="276" priority="154" stopIfTrue="1">
      <formula>IF($F30="低",1,0)</formula>
    </cfRule>
  </conditionalFormatting>
  <conditionalFormatting sqref="B30">
    <cfRule type="expression" dxfId="275" priority="155" stopIfTrue="1">
      <formula>IF($F30="低",1,0)</formula>
    </cfRule>
  </conditionalFormatting>
  <conditionalFormatting sqref="J30:L30">
    <cfRule type="expression" dxfId="274" priority="148" stopIfTrue="1">
      <formula>IF($F30="低",1,0)</formula>
    </cfRule>
  </conditionalFormatting>
  <conditionalFormatting sqref="S30:U30">
    <cfRule type="expression" dxfId="273" priority="151" stopIfTrue="1">
      <formula>IF($F30="低",1,0)</formula>
    </cfRule>
  </conditionalFormatting>
  <conditionalFormatting sqref="M30:O30">
    <cfRule type="expression" dxfId="272" priority="150" stopIfTrue="1">
      <formula>IF($F30="低",1,0)</formula>
    </cfRule>
  </conditionalFormatting>
  <conditionalFormatting sqref="D30">
    <cfRule type="expression" dxfId="271" priority="147" stopIfTrue="1">
      <formula>IF($F30="低",1,0)</formula>
    </cfRule>
  </conditionalFormatting>
  <conditionalFormatting sqref="C30">
    <cfRule type="expression" dxfId="270" priority="146" stopIfTrue="1">
      <formula>IF($F30="低",1,0)</formula>
    </cfRule>
  </conditionalFormatting>
  <conditionalFormatting sqref="E30">
    <cfRule type="expression" dxfId="269" priority="145" stopIfTrue="1">
      <formula>IF($F30="低",1,0)</formula>
    </cfRule>
  </conditionalFormatting>
  <conditionalFormatting sqref="D35">
    <cfRule type="expression" dxfId="268" priority="144" stopIfTrue="1">
      <formula>IF($F35="低",1,0)</formula>
    </cfRule>
  </conditionalFormatting>
  <conditionalFormatting sqref="C36">
    <cfRule type="expression" dxfId="267" priority="143" stopIfTrue="1">
      <formula>IF($F36="低",1,0)</formula>
    </cfRule>
  </conditionalFormatting>
  <conditionalFormatting sqref="D36">
    <cfRule type="expression" dxfId="266" priority="142" stopIfTrue="1">
      <formula>IF($F36="低",1,0)</formula>
    </cfRule>
  </conditionalFormatting>
  <conditionalFormatting sqref="D37">
    <cfRule type="expression" dxfId="265" priority="141" stopIfTrue="1">
      <formula>IF($F37="低",1,0)</formula>
    </cfRule>
  </conditionalFormatting>
  <conditionalFormatting sqref="D38">
    <cfRule type="expression" dxfId="264" priority="137" stopIfTrue="1">
      <formula>IF($F38="低",1,0)</formula>
    </cfRule>
  </conditionalFormatting>
  <conditionalFormatting sqref="E38">
    <cfRule type="expression" dxfId="263" priority="138" stopIfTrue="1">
      <formula>IF($F38="低",1,0)</formula>
    </cfRule>
  </conditionalFormatting>
  <conditionalFormatting sqref="E42">
    <cfRule type="expression" dxfId="262" priority="136" stopIfTrue="1">
      <formula>IF($F42="低",1,0)</formula>
    </cfRule>
  </conditionalFormatting>
  <conditionalFormatting sqref="D42">
    <cfRule type="expression" dxfId="261" priority="135" stopIfTrue="1">
      <formula>IF($F42="低",1,0)</formula>
    </cfRule>
  </conditionalFormatting>
  <conditionalFormatting sqref="C43">
    <cfRule type="expression" dxfId="260" priority="134" stopIfTrue="1">
      <formula>IF($F43="低",1,0)</formula>
    </cfRule>
  </conditionalFormatting>
  <conditionalFormatting sqref="E43">
    <cfRule type="expression" dxfId="259" priority="133" stopIfTrue="1">
      <formula>IF($F43="低",1,0)</formula>
    </cfRule>
  </conditionalFormatting>
  <conditionalFormatting sqref="C44">
    <cfRule type="expression" dxfId="258" priority="132" stopIfTrue="1">
      <formula>IF($F44="低",1,0)</formula>
    </cfRule>
  </conditionalFormatting>
  <conditionalFormatting sqref="D44">
    <cfRule type="expression" dxfId="257" priority="131" stopIfTrue="1">
      <formula>IF($F44="低",1,0)</formula>
    </cfRule>
  </conditionalFormatting>
  <conditionalFormatting sqref="E44">
    <cfRule type="expression" dxfId="256" priority="130" stopIfTrue="1">
      <formula>IF($F44="低",1,0)</formula>
    </cfRule>
  </conditionalFormatting>
  <conditionalFormatting sqref="C45">
    <cfRule type="expression" dxfId="255" priority="129" stopIfTrue="1">
      <formula>IF($F45="低",1,0)</formula>
    </cfRule>
  </conditionalFormatting>
  <conditionalFormatting sqref="D45">
    <cfRule type="expression" dxfId="254" priority="128" stopIfTrue="1">
      <formula>IF($F45="低",1,0)</formula>
    </cfRule>
  </conditionalFormatting>
  <conditionalFormatting sqref="E45">
    <cfRule type="expression" dxfId="253" priority="127" stopIfTrue="1">
      <formula>IF($F45="低",1,0)</formula>
    </cfRule>
  </conditionalFormatting>
  <conditionalFormatting sqref="C46">
    <cfRule type="expression" dxfId="252" priority="126" stopIfTrue="1">
      <formula>IF($F46="低",1,0)</formula>
    </cfRule>
  </conditionalFormatting>
  <conditionalFormatting sqref="D46">
    <cfRule type="expression" dxfId="251" priority="125" stopIfTrue="1">
      <formula>IF($F46="低",1,0)</formula>
    </cfRule>
  </conditionalFormatting>
  <conditionalFormatting sqref="E46">
    <cfRule type="expression" dxfId="250" priority="124" stopIfTrue="1">
      <formula>IF($F46="低",1,0)</formula>
    </cfRule>
  </conditionalFormatting>
  <conditionalFormatting sqref="E49">
    <cfRule type="expression" dxfId="249" priority="115" stopIfTrue="1">
      <formula>IF($F49="低",1,0)</formula>
    </cfRule>
  </conditionalFormatting>
  <conditionalFormatting sqref="D47">
    <cfRule type="expression" dxfId="248" priority="122" stopIfTrue="1">
      <formula>IF($F47="低",1,0)</formula>
    </cfRule>
  </conditionalFormatting>
  <conditionalFormatting sqref="E47">
    <cfRule type="expression" dxfId="247" priority="121" stopIfTrue="1">
      <formula>IF($F47="低",1,0)</formula>
    </cfRule>
  </conditionalFormatting>
  <conditionalFormatting sqref="C47">
    <cfRule type="expression" dxfId="246" priority="120" stopIfTrue="1">
      <formula>IF($F47="低",1,0)</formula>
    </cfRule>
  </conditionalFormatting>
  <conditionalFormatting sqref="C48">
    <cfRule type="expression" dxfId="245" priority="119" stopIfTrue="1">
      <formula>IF($F48="低",1,0)</formula>
    </cfRule>
  </conditionalFormatting>
  <conditionalFormatting sqref="D48">
    <cfRule type="expression" dxfId="244" priority="118" stopIfTrue="1">
      <formula>IF($F48="低",1,0)</formula>
    </cfRule>
  </conditionalFormatting>
  <conditionalFormatting sqref="E48">
    <cfRule type="expression" dxfId="243" priority="117" stopIfTrue="1">
      <formula>IF($F48="低",1,0)</formula>
    </cfRule>
  </conditionalFormatting>
  <conditionalFormatting sqref="D49">
    <cfRule type="expression" dxfId="242" priority="116" stopIfTrue="1">
      <formula>IF($F49="低",1,0)</formula>
    </cfRule>
  </conditionalFormatting>
  <conditionalFormatting sqref="E51">
    <cfRule type="expression" dxfId="241" priority="96" stopIfTrue="1">
      <formula>IF($F51="低",1,0)</formula>
    </cfRule>
  </conditionalFormatting>
  <conditionalFormatting sqref="C49">
    <cfRule type="expression" dxfId="240" priority="113" stopIfTrue="1">
      <formula>IF($F49="低",1,0)</formula>
    </cfRule>
  </conditionalFormatting>
  <conditionalFormatting sqref="P50:R50">
    <cfRule type="expression" dxfId="239" priority="109" stopIfTrue="1">
      <formula>IF($F50="低",1,0)</formula>
    </cfRule>
  </conditionalFormatting>
  <conditionalFormatting sqref="B50">
    <cfRule type="expression" dxfId="238" priority="110" stopIfTrue="1">
      <formula>IF($F50="低",1,0)</formula>
    </cfRule>
  </conditionalFormatting>
  <conditionalFormatting sqref="J50:L50">
    <cfRule type="expression" dxfId="237" priority="108" stopIfTrue="1">
      <formula>IF($F50="低",1,0)</formula>
    </cfRule>
  </conditionalFormatting>
  <conditionalFormatting sqref="S50:U50">
    <cfRule type="expression" dxfId="236" priority="107" stopIfTrue="1">
      <formula>IF($F50="低",1,0)</formula>
    </cfRule>
  </conditionalFormatting>
  <conditionalFormatting sqref="M50:O50">
    <cfRule type="expression" dxfId="234" priority="105" stopIfTrue="1">
      <formula>IF($F50="低",1,0)</formula>
    </cfRule>
  </conditionalFormatting>
  <conditionalFormatting sqref="F42:F51">
    <cfRule type="expression" dxfId="233" priority="95" stopIfTrue="1">
      <formula>IF($F42="低",1,0)</formula>
    </cfRule>
  </conditionalFormatting>
  <conditionalFormatting sqref="C50">
    <cfRule type="expression" dxfId="232" priority="101" stopIfTrue="1">
      <formula>IF($F50="低",1,0)</formula>
    </cfRule>
  </conditionalFormatting>
  <conditionalFormatting sqref="D50">
    <cfRule type="expression" dxfId="231" priority="100" stopIfTrue="1">
      <formula>IF($F50="低",1,0)</formula>
    </cfRule>
  </conditionalFormatting>
  <conditionalFormatting sqref="E50">
    <cfRule type="expression" dxfId="230" priority="99" stopIfTrue="1">
      <formula>IF($F50="低",1,0)</formula>
    </cfRule>
  </conditionalFormatting>
  <conditionalFormatting sqref="C51">
    <cfRule type="expression" dxfId="229" priority="98" stopIfTrue="1">
      <formula>IF($F51="低",1,0)</formula>
    </cfRule>
  </conditionalFormatting>
  <conditionalFormatting sqref="D51">
    <cfRule type="expression" dxfId="228" priority="97" stopIfTrue="1">
      <formula>IF($F51="低",1,0)</formula>
    </cfRule>
  </conditionalFormatting>
  <conditionalFormatting sqref="F42:F51">
    <cfRule type="expression" dxfId="227" priority="94" stopIfTrue="1">
      <formula>IF($F42="高",1,0)</formula>
    </cfRule>
  </conditionalFormatting>
  <conditionalFormatting sqref="D57">
    <cfRule type="expression" dxfId="226" priority="87" stopIfTrue="1">
      <formula>IF($F57="低",1,0)</formula>
    </cfRule>
  </conditionalFormatting>
  <conditionalFormatting sqref="F57">
    <cfRule type="expression" dxfId="225" priority="93" stopIfTrue="1">
      <formula>IF($F57="低",1,0)</formula>
    </cfRule>
  </conditionalFormatting>
  <conditionalFormatting sqref="F57">
    <cfRule type="expression" dxfId="224" priority="92" stopIfTrue="1">
      <formula>IF($F57="高",1,0)</formula>
    </cfRule>
  </conditionalFormatting>
  <conditionalFormatting sqref="B57">
    <cfRule type="expression" dxfId="223" priority="91" stopIfTrue="1">
      <formula>IF($F57="低",1,0)</formula>
    </cfRule>
  </conditionalFormatting>
  <conditionalFormatting sqref="P57:R57">
    <cfRule type="expression" dxfId="222" priority="90" stopIfTrue="1">
      <formula>IF($F57="低",1,0)</formula>
    </cfRule>
  </conditionalFormatting>
  <conditionalFormatting sqref="J57:L57">
    <cfRule type="expression" dxfId="221" priority="89" stopIfTrue="1">
      <formula>IF($F57="低",1,0)</formula>
    </cfRule>
  </conditionalFormatting>
  <conditionalFormatting sqref="S57:U57">
    <cfRule type="expression" dxfId="220" priority="88" stopIfTrue="1">
      <formula>IF($F57="低",1,0)</formula>
    </cfRule>
  </conditionalFormatting>
  <conditionalFormatting sqref="E57">
    <cfRule type="expression" dxfId="219" priority="86" stopIfTrue="1">
      <formula>IF($F57="低",1,0)</formula>
    </cfRule>
  </conditionalFormatting>
  <conditionalFormatting sqref="M57:O57">
    <cfRule type="expression" dxfId="218" priority="84" stopIfTrue="1">
      <formula>IF($F57="低",1,0)</formula>
    </cfRule>
  </conditionalFormatting>
  <conditionalFormatting sqref="C57:C58">
    <cfRule type="expression" dxfId="217" priority="83" stopIfTrue="1">
      <formula>IF($F57="低",1,0)</formula>
    </cfRule>
  </conditionalFormatting>
  <conditionalFormatting sqref="B94:U94 B99:E99 B96:F98 J96:U99">
    <cfRule type="expression" dxfId="216" priority="82" stopIfTrue="1">
      <formula>IF($F94="低",1,0)</formula>
    </cfRule>
  </conditionalFormatting>
  <conditionalFormatting sqref="F94 F96:F98">
    <cfRule type="expression" dxfId="215" priority="81" stopIfTrue="1">
      <formula>IF($F94="高",1,0)</formula>
    </cfRule>
  </conditionalFormatting>
  <conditionalFormatting sqref="B101:E101 B100:C100 B105:U105 B102:C103 E103 B104:E104 J100:U104">
    <cfRule type="expression" dxfId="214" priority="80" stopIfTrue="1">
      <formula>IF($F100="低",1,0)</formula>
    </cfRule>
  </conditionalFormatting>
  <conditionalFormatting sqref="F105">
    <cfRule type="expression" dxfId="213" priority="79" stopIfTrue="1">
      <formula>IF($F105="高",1,0)</formula>
    </cfRule>
  </conditionalFormatting>
  <conditionalFormatting sqref="D100">
    <cfRule type="expression" dxfId="212" priority="78" stopIfTrue="1">
      <formula>IF($F100="低",1,0)</formula>
    </cfRule>
  </conditionalFormatting>
  <conditionalFormatting sqref="E100">
    <cfRule type="expression" dxfId="211" priority="77" stopIfTrue="1">
      <formula>IF($F100="低",1,0)</formula>
    </cfRule>
  </conditionalFormatting>
  <conditionalFormatting sqref="E102">
    <cfRule type="expression" dxfId="210" priority="75" stopIfTrue="1">
      <formula>IF($F102="低",1,0)</formula>
    </cfRule>
  </conditionalFormatting>
  <conditionalFormatting sqref="D102">
    <cfRule type="expression" dxfId="209" priority="74" stopIfTrue="1">
      <formula>IF($F102="低",1,0)</formula>
    </cfRule>
  </conditionalFormatting>
  <conditionalFormatting sqref="D103">
    <cfRule type="expression" dxfId="208" priority="73" stopIfTrue="1">
      <formula>IF($F103="低",1,0)</formula>
    </cfRule>
  </conditionalFormatting>
  <conditionalFormatting sqref="F99:F104">
    <cfRule type="expression" dxfId="207" priority="72" stopIfTrue="1">
      <formula>IF($F99="低",1,0)</formula>
    </cfRule>
  </conditionalFormatting>
  <conditionalFormatting sqref="F99:F104">
    <cfRule type="expression" dxfId="206" priority="71" stopIfTrue="1">
      <formula>IF($F99="高",1,0)</formula>
    </cfRule>
  </conditionalFormatting>
  <conditionalFormatting sqref="G12:I21">
    <cfRule type="expression" dxfId="205" priority="70" stopIfTrue="1">
      <formula>IF($F12="低",1,0)</formula>
    </cfRule>
  </conditionalFormatting>
  <conditionalFormatting sqref="F27">
    <cfRule type="expression" dxfId="204" priority="68" stopIfTrue="1">
      <formula>IF($F27="低",1,0)</formula>
    </cfRule>
  </conditionalFormatting>
  <conditionalFormatting sqref="F27">
    <cfRule type="expression" dxfId="203" priority="67" stopIfTrue="1">
      <formula>IF($F27="高",1,0)</formula>
    </cfRule>
  </conditionalFormatting>
  <conditionalFormatting sqref="P27:R27">
    <cfRule type="expression" dxfId="202" priority="65" stopIfTrue="1">
      <formula>IF($F27="低",1,0)</formula>
    </cfRule>
  </conditionalFormatting>
  <conditionalFormatting sqref="B27">
    <cfRule type="expression" dxfId="201" priority="66" stopIfTrue="1">
      <formula>IF($F27="低",1,0)</formula>
    </cfRule>
  </conditionalFormatting>
  <conditionalFormatting sqref="J27:L27">
    <cfRule type="expression" dxfId="200" priority="61" stopIfTrue="1">
      <formula>IF($F27="低",1,0)</formula>
    </cfRule>
  </conditionalFormatting>
  <conditionalFormatting sqref="S27:U27">
    <cfRule type="expression" dxfId="199" priority="64" stopIfTrue="1">
      <formula>IF($F27="低",1,0)</formula>
    </cfRule>
  </conditionalFormatting>
  <conditionalFormatting sqref="M27:O27">
    <cfRule type="expression" dxfId="198" priority="63" stopIfTrue="1">
      <formula>IF($F27="低",1,0)</formula>
    </cfRule>
  </conditionalFormatting>
  <conditionalFormatting sqref="E27">
    <cfRule type="expression" dxfId="197" priority="58" stopIfTrue="1">
      <formula>IF($F27="低",1,0)</formula>
    </cfRule>
  </conditionalFormatting>
  <conditionalFormatting sqref="C27">
    <cfRule type="expression" dxfId="196" priority="60" stopIfTrue="1">
      <formula>IF($F27="低",1,0)</formula>
    </cfRule>
  </conditionalFormatting>
  <conditionalFormatting sqref="D27">
    <cfRule type="expression" dxfId="195" priority="59" stopIfTrue="1">
      <formula>IF($F27="低",1,0)</formula>
    </cfRule>
  </conditionalFormatting>
  <conditionalFormatting sqref="F24">
    <cfRule type="expression" dxfId="194" priority="57" stopIfTrue="1">
      <formula>IF($F24="低",1,0)</formula>
    </cfRule>
  </conditionalFormatting>
  <conditionalFormatting sqref="F24">
    <cfRule type="expression" dxfId="193" priority="56" stopIfTrue="1">
      <formula>IF($F24="高",1,0)</formula>
    </cfRule>
  </conditionalFormatting>
  <conditionalFormatting sqref="P24:R24">
    <cfRule type="expression" dxfId="192" priority="54" stopIfTrue="1">
      <formula>IF($F24="低",1,0)</formula>
    </cfRule>
  </conditionalFormatting>
  <conditionalFormatting sqref="B24">
    <cfRule type="expression" dxfId="191" priority="55" stopIfTrue="1">
      <formula>IF($F24="低",1,0)</formula>
    </cfRule>
  </conditionalFormatting>
  <conditionalFormatting sqref="J24:L24">
    <cfRule type="expression" dxfId="190" priority="48" stopIfTrue="1">
      <formula>IF($F24="低",1,0)</formula>
    </cfRule>
  </conditionalFormatting>
  <conditionalFormatting sqref="S24:U24">
    <cfRule type="expression" dxfId="189" priority="53" stopIfTrue="1">
      <formula>IF($F24="低",1,0)</formula>
    </cfRule>
  </conditionalFormatting>
  <conditionalFormatting sqref="E24">
    <cfRule type="expression" dxfId="188" priority="52" stopIfTrue="1">
      <formula>IF($F24="低",1,0)</formula>
    </cfRule>
  </conditionalFormatting>
  <conditionalFormatting sqref="M24:O24">
    <cfRule type="expression" dxfId="187" priority="51" stopIfTrue="1">
      <formula>IF($F24="低",1,0)</formula>
    </cfRule>
  </conditionalFormatting>
  <conditionalFormatting sqref="D24">
    <cfRule type="expression" dxfId="186" priority="50" stopIfTrue="1">
      <formula>IF($F24="低",1,0)</formula>
    </cfRule>
  </conditionalFormatting>
  <conditionalFormatting sqref="G24:I24">
    <cfRule type="expression" dxfId="185" priority="49" stopIfTrue="1">
      <formula>IF($F24="低",1,0)</formula>
    </cfRule>
  </conditionalFormatting>
  <conditionalFormatting sqref="C24">
    <cfRule type="expression" dxfId="184" priority="47" stopIfTrue="1">
      <formula>IF($F24="低",1,0)</formula>
    </cfRule>
  </conditionalFormatting>
  <conditionalFormatting sqref="G25:I25">
    <cfRule type="expression" dxfId="183" priority="46" stopIfTrue="1">
      <formula>IF($F25="低",1,0)</formula>
    </cfRule>
  </conditionalFormatting>
  <conditionalFormatting sqref="G27:I27">
    <cfRule type="expression" dxfId="182" priority="45" stopIfTrue="1">
      <formula>IF($F27="低",1,0)</formula>
    </cfRule>
  </conditionalFormatting>
  <conditionalFormatting sqref="G28:I28">
    <cfRule type="expression" dxfId="181" priority="44" stopIfTrue="1">
      <formula>IF($F28="低",1,0)</formula>
    </cfRule>
  </conditionalFormatting>
  <conditionalFormatting sqref="G29:I29">
    <cfRule type="expression" dxfId="180" priority="43" stopIfTrue="1">
      <formula>IF($F29="低",1,0)</formula>
    </cfRule>
  </conditionalFormatting>
  <conditionalFormatting sqref="G33:I33">
    <cfRule type="expression" dxfId="179" priority="42" stopIfTrue="1">
      <formula>IF($F33="低",1,0)</formula>
    </cfRule>
  </conditionalFormatting>
  <conditionalFormatting sqref="G38:I38">
    <cfRule type="expression" dxfId="178" priority="41" stopIfTrue="1">
      <formula>IF($F38="低",1,0)</formula>
    </cfRule>
  </conditionalFormatting>
  <conditionalFormatting sqref="G39:I39">
    <cfRule type="expression" dxfId="177" priority="40" stopIfTrue="1">
      <formula>IF($F39="低",1,0)</formula>
    </cfRule>
  </conditionalFormatting>
  <conditionalFormatting sqref="G54:I58">
    <cfRule type="expression" dxfId="176" priority="39" stopIfTrue="1">
      <formula>IF($F54="低",1,0)</formula>
    </cfRule>
  </conditionalFormatting>
  <conditionalFormatting sqref="G61:I63">
    <cfRule type="expression" dxfId="175" priority="36" stopIfTrue="1">
      <formula>IF($F61="低",1,0)</formula>
    </cfRule>
  </conditionalFormatting>
  <conditionalFormatting sqref="G30:I30">
    <cfRule type="expression" dxfId="174" priority="35" stopIfTrue="1">
      <formula>IF($F30="低",1,0)</formula>
    </cfRule>
  </conditionalFormatting>
  <conditionalFormatting sqref="G32:I32">
    <cfRule type="expression" dxfId="173" priority="33" stopIfTrue="1">
      <formula>IF($F32="低",1,0)</formula>
    </cfRule>
  </conditionalFormatting>
  <conditionalFormatting sqref="G31:I31">
    <cfRule type="expression" dxfId="172" priority="32" stopIfTrue="1">
      <formula>IF($F31="低",1,0)</formula>
    </cfRule>
  </conditionalFormatting>
  <conditionalFormatting sqref="G26:I26">
    <cfRule type="expression" dxfId="171" priority="31" stopIfTrue="1">
      <formula>IF($F26="低",1,0)</formula>
    </cfRule>
  </conditionalFormatting>
  <conditionalFormatting sqref="G34:I34">
    <cfRule type="expression" dxfId="170" priority="30" stopIfTrue="1">
      <formula>IF($F34="低",1,0)</formula>
    </cfRule>
  </conditionalFormatting>
  <conditionalFormatting sqref="G64:I86">
    <cfRule type="expression" dxfId="169" priority="29" stopIfTrue="1">
      <formula>IF($F64="低",1,0)</formula>
    </cfRule>
  </conditionalFormatting>
  <conditionalFormatting sqref="G89:I89">
    <cfRule type="expression" dxfId="168" priority="28" stopIfTrue="1">
      <formula>IF($F89="低",1,0)</formula>
    </cfRule>
  </conditionalFormatting>
  <conditionalFormatting sqref="G37:I37">
    <cfRule type="expression" dxfId="167" priority="27" stopIfTrue="1">
      <formula>IF($F37="低",1,0)</formula>
    </cfRule>
  </conditionalFormatting>
  <conditionalFormatting sqref="B93:E93 J93:U93">
    <cfRule type="expression" dxfId="166" priority="26" stopIfTrue="1">
      <formula>IF($F93="低",1,0)</formula>
    </cfRule>
  </conditionalFormatting>
  <conditionalFormatting sqref="F92:F93">
    <cfRule type="expression" dxfId="165" priority="24" stopIfTrue="1">
      <formula>IF($F92="低",1,0)</formula>
    </cfRule>
  </conditionalFormatting>
  <conditionalFormatting sqref="F92:F93">
    <cfRule type="expression" dxfId="164" priority="23" stopIfTrue="1">
      <formula>IF($F92="高",1,0)</formula>
    </cfRule>
  </conditionalFormatting>
  <conditionalFormatting sqref="G90:I91">
    <cfRule type="expression" dxfId="163" priority="22" stopIfTrue="1">
      <formula>IF($F90="低",1,0)</formula>
    </cfRule>
  </conditionalFormatting>
  <conditionalFormatting sqref="G92:I93">
    <cfRule type="expression" dxfId="162" priority="21" stopIfTrue="1">
      <formula>IF($F92="低",1,0)</formula>
    </cfRule>
  </conditionalFormatting>
  <conditionalFormatting sqref="G96:I96">
    <cfRule type="expression" dxfId="161" priority="20" stopIfTrue="1">
      <formula>IF($F96="低",1,0)</formula>
    </cfRule>
  </conditionalFormatting>
  <conditionalFormatting sqref="G97:I97">
    <cfRule type="expression" dxfId="160" priority="19" stopIfTrue="1">
      <formula>IF($F97="低",1,0)</formula>
    </cfRule>
  </conditionalFormatting>
  <conditionalFormatting sqref="G98:I98">
    <cfRule type="expression" dxfId="159" priority="18" stopIfTrue="1">
      <formula>IF($F98="低",1,0)</formula>
    </cfRule>
  </conditionalFormatting>
  <conditionalFormatting sqref="G99:I99">
    <cfRule type="expression" dxfId="158" priority="17" stopIfTrue="1">
      <formula>IF($F99="低",1,0)</formula>
    </cfRule>
  </conditionalFormatting>
  <conditionalFormatting sqref="G102:I102">
    <cfRule type="expression" dxfId="157" priority="16" stopIfTrue="1">
      <formula>IF($F102="低",1,0)</formula>
    </cfRule>
  </conditionalFormatting>
  <conditionalFormatting sqref="G101:I101">
    <cfRule type="expression" dxfId="156" priority="15" stopIfTrue="1">
      <formula>IF($F101="低",1,0)</formula>
    </cfRule>
  </conditionalFormatting>
  <conditionalFormatting sqref="G103:I103">
    <cfRule type="expression" dxfId="155" priority="14" stopIfTrue="1">
      <formula>IF($F103="低",1,0)</formula>
    </cfRule>
  </conditionalFormatting>
  <conditionalFormatting sqref="G100:I100">
    <cfRule type="expression" dxfId="154" priority="13" stopIfTrue="1">
      <formula>IF($F100="低",1,0)</formula>
    </cfRule>
  </conditionalFormatting>
  <conditionalFormatting sqref="G104:I104">
    <cfRule type="expression" dxfId="153" priority="12" stopIfTrue="1">
      <formula>IF($F104="低",1,0)</formula>
    </cfRule>
  </conditionalFormatting>
  <conditionalFormatting sqref="G43:I43">
    <cfRule type="expression" dxfId="10" priority="11" stopIfTrue="1">
      <formula>IF($F43="低",1,0)</formula>
    </cfRule>
  </conditionalFormatting>
  <conditionalFormatting sqref="G44:H44">
    <cfRule type="expression" dxfId="9" priority="10" stopIfTrue="1">
      <formula>IF($F44="低",1,0)</formula>
    </cfRule>
  </conditionalFormatting>
  <conditionalFormatting sqref="G45:I45">
    <cfRule type="expression" dxfId="8" priority="9" stopIfTrue="1">
      <formula>IF($F45="低",1,0)</formula>
    </cfRule>
  </conditionalFormatting>
  <conditionalFormatting sqref="G46:I46">
    <cfRule type="expression" dxfId="7" priority="8" stopIfTrue="1">
      <formula>IF($F46="低",1,0)</formula>
    </cfRule>
  </conditionalFormatting>
  <conditionalFormatting sqref="G47:I47">
    <cfRule type="expression" dxfId="6" priority="7" stopIfTrue="1">
      <formula>IF($F47="低",1,0)</formula>
    </cfRule>
  </conditionalFormatting>
  <conditionalFormatting sqref="G48:I48">
    <cfRule type="expression" dxfId="5" priority="6" stopIfTrue="1">
      <formula>IF($F48="低",1,0)</formula>
    </cfRule>
  </conditionalFormatting>
  <conditionalFormatting sqref="G49:I49">
    <cfRule type="expression" dxfId="4" priority="5" stopIfTrue="1">
      <formula>IF($F49="低",1,0)</formula>
    </cfRule>
  </conditionalFormatting>
  <conditionalFormatting sqref="G50:I50">
    <cfRule type="expression" dxfId="3" priority="4" stopIfTrue="1">
      <formula>IF($F50="低",1,0)</formula>
    </cfRule>
  </conditionalFormatting>
  <conditionalFormatting sqref="G51:I51">
    <cfRule type="expression" dxfId="2" priority="3" stopIfTrue="1">
      <formula>IF($F51="低",1,0)</formula>
    </cfRule>
  </conditionalFormatting>
  <conditionalFormatting sqref="I42">
    <cfRule type="expression" dxfId="1" priority="2" stopIfTrue="1">
      <formula>IF($F42="低",1,0)</formula>
    </cfRule>
  </conditionalFormatting>
  <conditionalFormatting sqref="I44">
    <cfRule type="expression" dxfId="0" priority="1" stopIfTrue="1">
      <formula>IF($F44="低",1,0)</formula>
    </cfRule>
  </conditionalFormatting>
  <dataValidations count="1">
    <dataValidation type="list" allowBlank="1" showInputMessage="1" showErrorMessage="1" sqref="F12:F22 F42:F52 F54:F59 F61:F87 F24:F40 F96:F106 F89:F94">
      <formula1>"高,中,低"</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B31"/>
  <sheetViews>
    <sheetView showGridLines="0" zoomScale="85" zoomScaleNormal="85" workbookViewId="0">
      <pane xSplit="6" ySplit="10" topLeftCell="G11" activePane="bottomRight" state="frozen"/>
      <selection pane="topRight" activeCell="G1" sqref="G1"/>
      <selection pane="bottomLeft" activeCell="A11" sqref="A11"/>
      <selection pane="bottomRight" activeCell="E14" sqref="E14"/>
    </sheetView>
  </sheetViews>
  <sheetFormatPr defaultColWidth="9" defaultRowHeight="13"/>
  <cols>
    <col min="1" max="1" width="3.453125" style="4" customWidth="1"/>
    <col min="2" max="2" width="10.90625" style="4" customWidth="1"/>
    <col min="3" max="3" width="30" style="4" customWidth="1"/>
    <col min="4" max="5" width="49.36328125" style="4" customWidth="1"/>
    <col min="6" max="6" width="6" style="4" customWidth="1"/>
    <col min="7" max="15" width="7.453125" style="5" customWidth="1"/>
    <col min="16" max="21" width="7.453125" style="5" hidden="1" customWidth="1"/>
    <col min="22" max="27" width="7.453125" style="5" customWidth="1"/>
    <col min="28" max="16384" width="9" style="4"/>
  </cols>
  <sheetData>
    <row r="1" spans="2:28" ht="13.5" thickBot="1">
      <c r="AB1" s="6">
        <f>SUM(H4,K4,N4,Q4,T4)</f>
        <v>8</v>
      </c>
    </row>
    <row r="2" spans="2:28" ht="18.75" customHeight="1">
      <c r="B2" s="7" t="s">
        <v>10</v>
      </c>
      <c r="C2" s="8" t="s">
        <v>557</v>
      </c>
      <c r="D2" s="4" t="s">
        <v>556</v>
      </c>
      <c r="E2" s="9"/>
      <c r="J2" s="5" t="s">
        <v>42</v>
      </c>
      <c r="K2" s="5">
        <f>COUNTIF(J:J,"★")</f>
        <v>0</v>
      </c>
      <c r="M2" s="5" t="s">
        <v>42</v>
      </c>
      <c r="N2" s="5">
        <f>COUNTIF(M:M,"★")</f>
        <v>0</v>
      </c>
      <c r="P2" s="10"/>
      <c r="S2" s="5" t="s">
        <v>42</v>
      </c>
      <c r="T2" s="5">
        <f>COUNTIF(S:S,"★")</f>
        <v>0</v>
      </c>
      <c r="V2" s="5" t="s">
        <v>42</v>
      </c>
      <c r="W2" s="5">
        <f>COUNTIF(V:V,"★")</f>
        <v>0</v>
      </c>
      <c r="Y2" s="5" t="s">
        <v>42</v>
      </c>
      <c r="Z2" s="5">
        <f>COUNTIF(Y:Y,"★")</f>
        <v>0</v>
      </c>
      <c r="AB2" s="6">
        <f>SUM(H5,K5,N5,Q5,T5)</f>
        <v>0</v>
      </c>
    </row>
    <row r="3" spans="2:28" ht="18.75" customHeight="1">
      <c r="B3" s="11" t="s">
        <v>12</v>
      </c>
      <c r="C3" s="12" t="s">
        <v>17</v>
      </c>
      <c r="D3" s="4" t="s">
        <v>20</v>
      </c>
      <c r="J3" s="5" t="s">
        <v>43</v>
      </c>
      <c r="K3" s="13">
        <f>SUM($F$4:$F$6)-K2</f>
        <v>8</v>
      </c>
      <c r="M3" s="5" t="s">
        <v>43</v>
      </c>
      <c r="N3" s="13">
        <f>SUM($F$4:$F$6)-N2</f>
        <v>8</v>
      </c>
      <c r="P3" s="10"/>
      <c r="S3" s="5" t="s">
        <v>43</v>
      </c>
      <c r="T3" s="13">
        <f>SUM($F$4:$F$6)-T2</f>
        <v>8</v>
      </c>
      <c r="V3" s="5" t="s">
        <v>43</v>
      </c>
      <c r="W3" s="13">
        <f>SUM($F$4:$F$6)-W2</f>
        <v>8</v>
      </c>
      <c r="Y3" s="5" t="s">
        <v>43</v>
      </c>
      <c r="Z3" s="13">
        <f>SUM($F$4:$F$6)-Z2</f>
        <v>8</v>
      </c>
      <c r="AB3" s="6">
        <f>SUM(H6,K6,N6,Q6,T6)</f>
        <v>0</v>
      </c>
    </row>
    <row r="4" spans="2:28" ht="18.75" customHeight="1">
      <c r="B4" s="11" t="s">
        <v>11</v>
      </c>
      <c r="C4" s="12" t="s">
        <v>883</v>
      </c>
      <c r="E4" s="14" t="s">
        <v>14</v>
      </c>
      <c r="F4" s="4">
        <f>COUNTIF($F$12:$F$176, "高")</f>
        <v>8</v>
      </c>
      <c r="H4" s="5">
        <f>COUNTIFS($F12:$F176,"高",I12:I176,"OK")+COUNTIFS($F12:$F176,"高",I12:I176,"NG→OK")</f>
        <v>8</v>
      </c>
      <c r="I4" s="5">
        <f>COUNTIFS($F12:$F176,"高",I12:I176,"NG")</f>
        <v>0</v>
      </c>
      <c r="K4" s="5">
        <f>COUNTIFS($F12:$F176,"高",L12:L176,"OK")</f>
        <v>0</v>
      </c>
      <c r="L4" s="5">
        <f>COUNTIFS($F12:$F176,"高",L12:L176,"NG")</f>
        <v>0</v>
      </c>
      <c r="N4" s="5">
        <f>COUNTIFS($F12:$F176,"高",O12:O176,"OK")+COUNTIFS($F12:$F176,"高",O12:O176,"NG→OK")</f>
        <v>0</v>
      </c>
      <c r="O4" s="5">
        <f>COUNTIFS($F12:$F176,"高",O12:O176,"NG")</f>
        <v>0</v>
      </c>
      <c r="P4" s="10"/>
      <c r="Q4" s="5">
        <f>COUNTIFS($F12:$F176,"高",R12:R176,"OK")</f>
        <v>0</v>
      </c>
      <c r="R4" s="5">
        <f>COUNTIFS($F12:$F176,"高",R12:R176,"NG")</f>
        <v>0</v>
      </c>
      <c r="T4" s="5">
        <f>COUNTIFS($F12:$F176,"高",U12:U176,"OK")</f>
        <v>0</v>
      </c>
      <c r="U4" s="5">
        <f>COUNTIFS($F12:$F176,"高",U12:U176,"NG")</f>
        <v>0</v>
      </c>
      <c r="W4" s="5">
        <f>COUNTIFS($F12:$F176,"高",X12:X176,"OK")+COUNTIFS($F12:$F176,"高",X12:X176,"NG→OK")</f>
        <v>0</v>
      </c>
      <c r="X4" s="5">
        <f>COUNTIFS($F12:$F176,"高",X12:X176,"NG")</f>
        <v>0</v>
      </c>
      <c r="Z4" s="5">
        <f>COUNTIFS($F12:$F176,"高",AA12:AA176,"OK")</f>
        <v>0</v>
      </c>
      <c r="AA4" s="5">
        <f>COUNTIFS($F12:$F176,"高",AA12:AA176,"NG")</f>
        <v>0</v>
      </c>
      <c r="AB4" s="6">
        <f>SUM(I4,L4,O4,R4,U4)</f>
        <v>0</v>
      </c>
    </row>
    <row r="5" spans="2:28" ht="18.75" customHeight="1">
      <c r="B5" s="15" t="s">
        <v>8</v>
      </c>
      <c r="C5" s="16" t="s">
        <v>18</v>
      </c>
      <c r="D5" s="17" t="s">
        <v>33</v>
      </c>
      <c r="E5" s="14" t="s">
        <v>15</v>
      </c>
      <c r="F5" s="4">
        <f>COUNTIF($F$12:$F$176, "中")</f>
        <v>0</v>
      </c>
      <c r="H5" s="5">
        <f>COUNTIFS($F12:$F176,"中",I12:I176,"OK")</f>
        <v>0</v>
      </c>
      <c r="I5" s="5">
        <f>COUNTIFS($F12:$F176,"中",I12:I176,"NG")</f>
        <v>0</v>
      </c>
      <c r="K5" s="5">
        <f>COUNTIFS($F12:$F176,"中",L12:L176,"OK")</f>
        <v>0</v>
      </c>
      <c r="L5" s="5">
        <f>COUNTIFS($F12:$F176,"中",L12:L176,"NG")</f>
        <v>0</v>
      </c>
      <c r="N5" s="5">
        <f>COUNTIFS($F12:$F176,"中",O12:O176,"OK")+COUNTIFS($F12:$F176,"中",O12:O176,"NG→OK")</f>
        <v>0</v>
      </c>
      <c r="O5" s="5">
        <f>COUNTIFS($F12:$F176,"中",O12:O176,"NG")</f>
        <v>0</v>
      </c>
      <c r="P5" s="10"/>
      <c r="Q5" s="5">
        <f>COUNTIFS($F12:$F176,"中",R12:R176,"OK")</f>
        <v>0</v>
      </c>
      <c r="R5" s="5">
        <f>COUNTIFS($F12:$F176,"中",R12:R176,"NG")</f>
        <v>0</v>
      </c>
      <c r="T5" s="5">
        <f>COUNTIFS($F12:$F176,"中",U12:U176,"OK")</f>
        <v>0</v>
      </c>
      <c r="U5" s="5">
        <f>COUNTIFS($F12:$F176,"中",U12:U176,"NG")</f>
        <v>0</v>
      </c>
      <c r="W5" s="5">
        <f>COUNTIFS($F12:$F176,"中",X12:X176,"OK")</f>
        <v>0</v>
      </c>
      <c r="X5" s="5">
        <f>COUNTIFS($F12:$F176,"中",X12:X176,"NG")</f>
        <v>0</v>
      </c>
      <c r="Z5" s="5">
        <f>COUNTIFS($F12:$F176,"中",AA12:AA176,"OK")</f>
        <v>0</v>
      </c>
      <c r="AA5" s="5">
        <f>COUNTIFS($F12:$F176,"中",AA12:AA176,"NG")</f>
        <v>0</v>
      </c>
      <c r="AB5" s="6">
        <f>SUM(I5,L5,O5,R5,U5)</f>
        <v>0</v>
      </c>
    </row>
    <row r="6" spans="2:28" ht="18.75" customHeight="1" thickBot="1">
      <c r="B6" s="18" t="s">
        <v>9</v>
      </c>
      <c r="C6" s="19">
        <v>44938</v>
      </c>
      <c r="D6" s="4" t="s">
        <v>45</v>
      </c>
      <c r="E6" s="14" t="s">
        <v>16</v>
      </c>
      <c r="F6" s="4">
        <f>COUNTIF($F$12:$F$176, "低")</f>
        <v>0</v>
      </c>
      <c r="H6" s="5">
        <f>COUNTIFS($F12:$F176,"低",I12:I176,"OK")</f>
        <v>0</v>
      </c>
      <c r="I6" s="5">
        <f>COUNTIFS($F12:$F176,"低",I12:I176,"NG")</f>
        <v>0</v>
      </c>
      <c r="K6" s="5">
        <f>COUNTIFS($F12:$F176,"低",L12:L176,"OK")</f>
        <v>0</v>
      </c>
      <c r="L6" s="5">
        <f>COUNTIFS($F12:$F176,"低",L12:L176,"NG")</f>
        <v>0</v>
      </c>
      <c r="N6" s="5">
        <f>COUNTIFS($F12:$F176,"低",O12:O176,"OK")</f>
        <v>0</v>
      </c>
      <c r="O6" s="5">
        <f>COUNTIFS($F12:$F176,"低",O12:O176,"NG")</f>
        <v>0</v>
      </c>
      <c r="P6" s="10"/>
      <c r="Q6" s="5">
        <f>COUNTIFS($F12:$F176,"低",R12:R176,"OK")</f>
        <v>0</v>
      </c>
      <c r="R6" s="5">
        <f>COUNTIFS($F12:$F176,"低",R12:R176,"NG")</f>
        <v>0</v>
      </c>
      <c r="T6" s="5">
        <f>COUNTIFS($F12:$F176,"低",U12:U176,"OK")</f>
        <v>0</v>
      </c>
      <c r="U6" s="5">
        <f>COUNTIFS($F12:$F176,"低",U12:U176,"NG")</f>
        <v>0</v>
      </c>
      <c r="W6" s="5">
        <f>COUNTIFS($F12:$F176,"低",X12:X176,"OK")</f>
        <v>0</v>
      </c>
      <c r="X6" s="5">
        <f>COUNTIFS($F12:$F176,"低",X12:X176,"NG")</f>
        <v>0</v>
      </c>
      <c r="Z6" s="5">
        <f>COUNTIFS($F12:$F176,"低",AA12:AA176,"OK")</f>
        <v>0</v>
      </c>
      <c r="AA6" s="5">
        <f>COUNTIFS($F12:$F176,"低",AA12:AA176,"NG")</f>
        <v>0</v>
      </c>
      <c r="AB6" s="6">
        <f>SUM(I6,L6,O6,R6,U6)</f>
        <v>0</v>
      </c>
    </row>
    <row r="7" spans="2:28">
      <c r="D7" s="4" t="s">
        <v>32</v>
      </c>
    </row>
    <row r="8" spans="2:28" ht="20.25" customHeight="1">
      <c r="C8" s="177" t="s">
        <v>4</v>
      </c>
      <c r="D8" s="178"/>
      <c r="E8" s="178"/>
      <c r="F8" s="179"/>
      <c r="G8" s="186" t="s">
        <v>44</v>
      </c>
      <c r="H8" s="187"/>
      <c r="I8" s="187"/>
      <c r="J8" s="187"/>
      <c r="K8" s="187"/>
      <c r="L8" s="187"/>
      <c r="M8" s="187"/>
      <c r="N8" s="187"/>
      <c r="O8" s="187"/>
      <c r="P8" s="187"/>
      <c r="Q8" s="187"/>
      <c r="R8" s="187"/>
      <c r="S8" s="187"/>
      <c r="T8" s="187"/>
      <c r="U8" s="187"/>
      <c r="V8" s="183" t="s">
        <v>52</v>
      </c>
      <c r="W8" s="184"/>
      <c r="X8" s="184"/>
      <c r="Y8" s="184"/>
      <c r="Z8" s="184"/>
      <c r="AA8" s="185"/>
    </row>
    <row r="9" spans="2:28" ht="20.25" customHeight="1">
      <c r="C9" s="180"/>
      <c r="D9" s="181"/>
      <c r="E9" s="181"/>
      <c r="F9" s="182"/>
      <c r="G9" s="188" t="s">
        <v>21</v>
      </c>
      <c r="H9" s="189"/>
      <c r="I9" s="190"/>
      <c r="J9" s="188" t="s">
        <v>22</v>
      </c>
      <c r="K9" s="189"/>
      <c r="L9" s="190"/>
      <c r="M9" s="188" t="s">
        <v>41</v>
      </c>
      <c r="N9" s="189"/>
      <c r="O9" s="190"/>
      <c r="P9" s="188" t="s">
        <v>46</v>
      </c>
      <c r="Q9" s="189"/>
      <c r="R9" s="190"/>
      <c r="S9" s="188" t="s">
        <v>47</v>
      </c>
      <c r="T9" s="189"/>
      <c r="U9" s="190"/>
      <c r="V9" s="174" t="s">
        <v>53</v>
      </c>
      <c r="W9" s="175"/>
      <c r="X9" s="176"/>
      <c r="Y9" s="174" t="s">
        <v>54</v>
      </c>
      <c r="Z9" s="175"/>
      <c r="AA9" s="176"/>
    </row>
    <row r="10" spans="2:28" ht="26">
      <c r="B10" s="20" t="s">
        <v>2</v>
      </c>
      <c r="C10" s="21" t="s">
        <v>13</v>
      </c>
      <c r="D10" s="21" t="s">
        <v>0</v>
      </c>
      <c r="E10" s="21" t="s">
        <v>1</v>
      </c>
      <c r="F10" s="21" t="s">
        <v>3</v>
      </c>
      <c r="G10" s="22" t="s">
        <v>7</v>
      </c>
      <c r="H10" s="22" t="s">
        <v>5</v>
      </c>
      <c r="I10" s="22" t="s">
        <v>6</v>
      </c>
      <c r="J10" s="22" t="s">
        <v>7</v>
      </c>
      <c r="K10" s="22" t="s">
        <v>5</v>
      </c>
      <c r="L10" s="22" t="s">
        <v>6</v>
      </c>
      <c r="M10" s="22" t="s">
        <v>7</v>
      </c>
      <c r="N10" s="22" t="s">
        <v>5</v>
      </c>
      <c r="O10" s="22" t="s">
        <v>6</v>
      </c>
      <c r="P10" s="22" t="s">
        <v>7</v>
      </c>
      <c r="Q10" s="22" t="s">
        <v>5</v>
      </c>
      <c r="R10" s="22" t="s">
        <v>6</v>
      </c>
      <c r="S10" s="22" t="s">
        <v>7</v>
      </c>
      <c r="T10" s="22" t="s">
        <v>5</v>
      </c>
      <c r="U10" s="22" t="s">
        <v>6</v>
      </c>
      <c r="V10" s="33" t="s">
        <v>7</v>
      </c>
      <c r="W10" s="33" t="s">
        <v>5</v>
      </c>
      <c r="X10" s="33" t="s">
        <v>6</v>
      </c>
      <c r="Y10" s="33" t="s">
        <v>7</v>
      </c>
      <c r="Z10" s="33" t="s">
        <v>5</v>
      </c>
      <c r="AA10" s="33" t="s">
        <v>6</v>
      </c>
    </row>
    <row r="11" spans="2:28">
      <c r="B11" s="172" t="s">
        <v>1077</v>
      </c>
      <c r="C11" s="173"/>
      <c r="D11" s="173"/>
      <c r="E11" s="173"/>
      <c r="F11" s="173"/>
      <c r="G11" s="23"/>
      <c r="H11" s="23"/>
      <c r="I11" s="23"/>
      <c r="J11" s="23"/>
      <c r="K11" s="23"/>
      <c r="L11" s="23"/>
      <c r="M11" s="23"/>
      <c r="N11" s="23"/>
      <c r="O11" s="23"/>
      <c r="P11" s="23"/>
      <c r="Q11" s="23"/>
      <c r="R11" s="23"/>
      <c r="S11" s="23"/>
      <c r="T11" s="23"/>
      <c r="U11" s="23"/>
      <c r="V11" s="23"/>
      <c r="W11" s="23"/>
      <c r="X11" s="23"/>
      <c r="Y11" s="23"/>
      <c r="Z11" s="23"/>
      <c r="AA11" s="23"/>
    </row>
    <row r="12" spans="2:28" s="31" customFormat="1" ht="39">
      <c r="B12" s="24">
        <f>IF($C$12:C12&lt;&gt;"",COUNTA($C$12:C12),"")</f>
        <v>1</v>
      </c>
      <c r="C12" s="25" t="s">
        <v>872</v>
      </c>
      <c r="D12" s="25" t="s">
        <v>873</v>
      </c>
      <c r="E12" s="25" t="s">
        <v>886</v>
      </c>
      <c r="F12" s="36" t="s">
        <v>554</v>
      </c>
      <c r="G12" s="28">
        <v>44942</v>
      </c>
      <c r="H12" s="29" t="s">
        <v>940</v>
      </c>
      <c r="I12" s="30" t="s">
        <v>941</v>
      </c>
      <c r="J12" s="37"/>
      <c r="K12" s="38"/>
      <c r="L12" s="34"/>
      <c r="M12" s="37"/>
      <c r="N12" s="38"/>
      <c r="O12" s="34"/>
      <c r="P12" s="37"/>
      <c r="Q12" s="38"/>
      <c r="R12" s="34"/>
      <c r="S12" s="37"/>
      <c r="T12" s="38"/>
      <c r="U12" s="34"/>
      <c r="V12" s="37"/>
      <c r="W12" s="38"/>
      <c r="X12" s="34"/>
      <c r="Y12" s="37"/>
      <c r="Z12" s="38"/>
      <c r="AA12" s="34"/>
    </row>
    <row r="13" spans="2:28" s="31" customFormat="1" ht="64.5" customHeight="1">
      <c r="B13" s="24">
        <f>IF($C$12:C13&lt;&gt;"",COUNTA($C$12:C13),"")</f>
        <v>2</v>
      </c>
      <c r="C13" s="25" t="s">
        <v>877</v>
      </c>
      <c r="D13" s="25" t="s">
        <v>875</v>
      </c>
      <c r="E13" s="25" t="s">
        <v>876</v>
      </c>
      <c r="F13" s="27" t="s">
        <v>554</v>
      </c>
      <c r="G13" s="28">
        <v>44956</v>
      </c>
      <c r="H13" s="29" t="s">
        <v>1074</v>
      </c>
      <c r="I13" s="30" t="s">
        <v>268</v>
      </c>
      <c r="J13" s="37"/>
      <c r="K13" s="38"/>
      <c r="L13" s="34"/>
      <c r="M13" s="37"/>
      <c r="N13" s="38"/>
      <c r="O13" s="34"/>
      <c r="P13" s="37"/>
      <c r="Q13" s="38"/>
      <c r="R13" s="34"/>
      <c r="S13" s="37"/>
      <c r="T13" s="38"/>
      <c r="U13" s="34"/>
      <c r="V13" s="37"/>
      <c r="W13" s="38"/>
      <c r="X13" s="34"/>
      <c r="Y13" s="37"/>
      <c r="Z13" s="38"/>
      <c r="AA13" s="34"/>
    </row>
    <row r="14" spans="2:28" s="31" customFormat="1" ht="63.5" customHeight="1">
      <c r="B14" s="24">
        <f>IF($C$12:C14&lt;&gt;"",COUNTA($C$12:C14),"")</f>
        <v>3</v>
      </c>
      <c r="C14" s="25" t="s">
        <v>878</v>
      </c>
      <c r="D14" s="25" t="s">
        <v>1099</v>
      </c>
      <c r="E14" s="25" t="s">
        <v>874</v>
      </c>
      <c r="F14" s="27" t="s">
        <v>554</v>
      </c>
      <c r="G14" s="37">
        <v>44959</v>
      </c>
      <c r="H14" s="38" t="s">
        <v>1103</v>
      </c>
      <c r="I14" s="34" t="s">
        <v>1104</v>
      </c>
      <c r="J14" s="37"/>
      <c r="K14" s="38"/>
      <c r="L14" s="34"/>
      <c r="M14" s="37"/>
      <c r="N14" s="38"/>
      <c r="O14" s="34"/>
      <c r="P14" s="37"/>
      <c r="Q14" s="38"/>
      <c r="R14" s="34"/>
      <c r="S14" s="37"/>
      <c r="T14" s="38"/>
      <c r="U14" s="34"/>
      <c r="V14" s="37"/>
      <c r="W14" s="38"/>
      <c r="X14" s="34"/>
      <c r="Y14" s="37"/>
      <c r="Z14" s="38"/>
      <c r="AA14" s="34"/>
    </row>
    <row r="15" spans="2:28" s="31" customFormat="1" ht="34.5" customHeight="1">
      <c r="B15" s="24">
        <f>IF($C$12:C15&lt;&gt;"",COUNTA($C$12:C15),"")</f>
        <v>4</v>
      </c>
      <c r="C15" s="25" t="s">
        <v>884</v>
      </c>
      <c r="D15" s="25" t="s">
        <v>885</v>
      </c>
      <c r="E15" s="25" t="s">
        <v>887</v>
      </c>
      <c r="F15" s="36" t="s">
        <v>554</v>
      </c>
      <c r="G15" s="37">
        <v>44959</v>
      </c>
      <c r="H15" s="38" t="s">
        <v>1103</v>
      </c>
      <c r="I15" s="34" t="s">
        <v>1104</v>
      </c>
      <c r="J15" s="37"/>
      <c r="K15" s="38"/>
      <c r="L15" s="34"/>
      <c r="M15" s="37"/>
      <c r="N15" s="38"/>
      <c r="O15" s="34"/>
      <c r="P15" s="37"/>
      <c r="Q15" s="38"/>
      <c r="R15" s="34"/>
      <c r="S15" s="37"/>
      <c r="T15" s="38"/>
      <c r="U15" s="34"/>
      <c r="V15" s="37"/>
      <c r="W15" s="38"/>
      <c r="X15" s="34"/>
      <c r="Y15" s="37"/>
      <c r="Z15" s="38"/>
      <c r="AA15" s="34"/>
    </row>
    <row r="16" spans="2:28" s="31" customFormat="1">
      <c r="B16" s="24" t="str">
        <f>IF($C$12:C16&lt;&gt;"",COUNTA($C$12:C16),"")</f>
        <v/>
      </c>
      <c r="C16" s="25"/>
      <c r="D16" s="25"/>
      <c r="E16" s="25"/>
      <c r="F16" s="36"/>
      <c r="G16" s="37"/>
      <c r="H16" s="38"/>
      <c r="I16" s="34"/>
      <c r="J16" s="37"/>
      <c r="K16" s="38"/>
      <c r="L16" s="34"/>
      <c r="M16" s="37"/>
      <c r="N16" s="38"/>
      <c r="O16" s="34"/>
      <c r="P16" s="37"/>
      <c r="Q16" s="38"/>
      <c r="R16" s="34"/>
      <c r="S16" s="37"/>
      <c r="T16" s="38"/>
      <c r="U16" s="34"/>
      <c r="V16" s="37"/>
      <c r="W16" s="38"/>
      <c r="X16" s="34"/>
      <c r="Y16" s="37"/>
      <c r="Z16" s="38"/>
      <c r="AA16" s="34"/>
    </row>
    <row r="17" spans="2:27">
      <c r="B17" s="172" t="s">
        <v>1076</v>
      </c>
      <c r="C17" s="173"/>
      <c r="D17" s="173"/>
      <c r="E17" s="173"/>
      <c r="F17" s="173"/>
      <c r="G17" s="23"/>
      <c r="H17" s="23"/>
      <c r="I17" s="23"/>
      <c r="J17" s="23"/>
      <c r="K17" s="23"/>
      <c r="L17" s="23"/>
      <c r="M17" s="23"/>
      <c r="N17" s="23"/>
      <c r="O17" s="23"/>
      <c r="P17" s="23"/>
      <c r="Q17" s="23"/>
      <c r="R17" s="23"/>
      <c r="S17" s="23"/>
      <c r="T17" s="23"/>
      <c r="U17" s="23"/>
      <c r="V17" s="23"/>
      <c r="W17" s="23"/>
      <c r="X17" s="23"/>
      <c r="Y17" s="23"/>
      <c r="Z17" s="23"/>
      <c r="AA17" s="23"/>
    </row>
    <row r="18" spans="2:27" s="31" customFormat="1" ht="58" customHeight="1">
      <c r="B18" s="24">
        <f>IF($C$12:C18&lt;&gt;"",COUNTA($C$12:C18),"")</f>
        <v>5</v>
      </c>
      <c r="C18" s="25" t="s">
        <v>879</v>
      </c>
      <c r="D18" s="25" t="s">
        <v>881</v>
      </c>
      <c r="E18" s="25" t="s">
        <v>882</v>
      </c>
      <c r="F18" s="27" t="s">
        <v>554</v>
      </c>
      <c r="G18" s="28">
        <v>44956</v>
      </c>
      <c r="H18" s="29" t="s">
        <v>1074</v>
      </c>
      <c r="I18" s="30" t="s">
        <v>1075</v>
      </c>
      <c r="J18" s="28"/>
      <c r="K18" s="29"/>
      <c r="L18" s="30"/>
      <c r="M18" s="28"/>
      <c r="N18" s="29"/>
      <c r="O18" s="30"/>
      <c r="P18" s="28"/>
      <c r="Q18" s="29"/>
      <c r="R18" s="30"/>
      <c r="S18" s="28"/>
      <c r="T18" s="29"/>
      <c r="U18" s="30"/>
      <c r="V18" s="28"/>
      <c r="W18" s="29"/>
      <c r="X18" s="30"/>
      <c r="Y18" s="28"/>
      <c r="Z18" s="29"/>
      <c r="AA18" s="30"/>
    </row>
    <row r="19" spans="2:27" s="31" customFormat="1" ht="44" customHeight="1">
      <c r="B19" s="24">
        <f>IF($C$12:C19&lt;&gt;"",COUNTA($C$12:C19),"")</f>
        <v>6</v>
      </c>
      <c r="C19" s="25" t="s">
        <v>880</v>
      </c>
      <c r="D19" s="25" t="s">
        <v>888</v>
      </c>
      <c r="E19" s="25" t="s">
        <v>874</v>
      </c>
      <c r="F19" s="27" t="s">
        <v>554</v>
      </c>
      <c r="G19" s="37">
        <v>44959</v>
      </c>
      <c r="H19" s="38" t="s">
        <v>1103</v>
      </c>
      <c r="I19" s="34" t="s">
        <v>1104</v>
      </c>
      <c r="J19" s="28"/>
      <c r="K19" s="29"/>
      <c r="L19" s="30"/>
      <c r="M19" s="28"/>
      <c r="N19" s="29"/>
      <c r="O19" s="30"/>
      <c r="P19" s="28"/>
      <c r="Q19" s="29"/>
      <c r="R19" s="30"/>
      <c r="S19" s="28"/>
      <c r="T19" s="29"/>
      <c r="U19" s="30"/>
      <c r="V19" s="28"/>
      <c r="W19" s="29"/>
      <c r="X19" s="30"/>
      <c r="Y19" s="28"/>
      <c r="Z19" s="29"/>
      <c r="AA19" s="30"/>
    </row>
    <row r="20" spans="2:27" s="31" customFormat="1" ht="34.5" customHeight="1">
      <c r="B20" s="24">
        <f>IF($C$12:C20&lt;&gt;"",COUNTA($C$12:C20),"")</f>
        <v>7</v>
      </c>
      <c r="C20" s="25" t="s">
        <v>884</v>
      </c>
      <c r="D20" s="25" t="s">
        <v>889</v>
      </c>
      <c r="E20" s="25" t="s">
        <v>887</v>
      </c>
      <c r="F20" s="27" t="s">
        <v>554</v>
      </c>
      <c r="G20" s="37">
        <v>44959</v>
      </c>
      <c r="H20" s="38" t="s">
        <v>1103</v>
      </c>
      <c r="I20" s="94" t="s">
        <v>1105</v>
      </c>
      <c r="J20" s="28"/>
      <c r="K20" s="29"/>
      <c r="L20" s="30"/>
      <c r="M20" s="28"/>
      <c r="N20" s="29"/>
      <c r="O20" s="30"/>
      <c r="P20" s="28"/>
      <c r="Q20" s="29"/>
      <c r="R20" s="30"/>
      <c r="S20" s="28"/>
      <c r="T20" s="29"/>
      <c r="U20" s="30"/>
      <c r="V20" s="28"/>
      <c r="W20" s="29"/>
      <c r="X20" s="30"/>
      <c r="Y20" s="28"/>
      <c r="Z20" s="29"/>
      <c r="AA20" s="30"/>
    </row>
    <row r="21" spans="2:27" s="31" customFormat="1">
      <c r="B21" s="24" t="str">
        <f>IF($C$12:C21&lt;&gt;"",COUNTA($C$12:C21),"")</f>
        <v/>
      </c>
      <c r="C21" s="25"/>
      <c r="D21" s="26"/>
      <c r="E21" s="26"/>
      <c r="F21" s="27"/>
      <c r="G21" s="28"/>
      <c r="H21" s="29"/>
      <c r="I21" s="34"/>
      <c r="J21" s="28"/>
      <c r="K21" s="29"/>
      <c r="L21" s="30"/>
      <c r="M21" s="28"/>
      <c r="N21" s="29"/>
      <c r="O21" s="30"/>
      <c r="P21" s="28"/>
      <c r="Q21" s="29"/>
      <c r="R21" s="30"/>
      <c r="S21" s="28"/>
      <c r="T21" s="29"/>
      <c r="U21" s="30"/>
      <c r="V21" s="28"/>
      <c r="W21" s="29"/>
      <c r="X21" s="30"/>
      <c r="Y21" s="28"/>
      <c r="Z21" s="29"/>
      <c r="AA21" s="30"/>
    </row>
    <row r="22" spans="2:27">
      <c r="B22" s="172" t="s">
        <v>893</v>
      </c>
      <c r="C22" s="173"/>
      <c r="D22" s="173"/>
      <c r="E22" s="173"/>
      <c r="F22" s="173"/>
      <c r="G22" s="23"/>
      <c r="H22" s="23"/>
      <c r="I22" s="23"/>
      <c r="J22" s="23"/>
      <c r="K22" s="23"/>
      <c r="L22" s="23"/>
      <c r="M22" s="23"/>
      <c r="N22" s="23"/>
      <c r="O22" s="23"/>
      <c r="P22" s="23"/>
      <c r="Q22" s="23"/>
      <c r="R22" s="23"/>
      <c r="S22" s="23"/>
      <c r="T22" s="23"/>
      <c r="U22" s="23"/>
      <c r="V22" s="23"/>
      <c r="W22" s="23"/>
      <c r="X22" s="23"/>
      <c r="Y22" s="23"/>
      <c r="Z22" s="23"/>
      <c r="AA22" s="23"/>
    </row>
    <row r="23" spans="2:27" s="31" customFormat="1" ht="133.5" customHeight="1">
      <c r="B23" s="24">
        <f>IF($C$12:C23&lt;&gt;"",COUNTA($C$12:C23),"")</f>
        <v>8</v>
      </c>
      <c r="C23" s="25" t="s">
        <v>900</v>
      </c>
      <c r="D23" s="26" t="s">
        <v>894</v>
      </c>
      <c r="E23" s="26" t="s">
        <v>895</v>
      </c>
      <c r="F23" s="27" t="s">
        <v>554</v>
      </c>
      <c r="G23" s="28">
        <v>44956</v>
      </c>
      <c r="H23" s="29" t="s">
        <v>1074</v>
      </c>
      <c r="I23" s="30" t="s">
        <v>1075</v>
      </c>
      <c r="J23" s="28"/>
      <c r="K23" s="29"/>
      <c r="L23" s="30"/>
      <c r="M23" s="28"/>
      <c r="N23" s="29"/>
      <c r="O23" s="30"/>
      <c r="P23" s="28"/>
      <c r="Q23" s="29"/>
      <c r="R23" s="30"/>
      <c r="S23" s="28"/>
      <c r="T23" s="29"/>
      <c r="U23" s="30"/>
      <c r="V23" s="28"/>
      <c r="W23" s="29"/>
      <c r="X23" s="30"/>
      <c r="Y23" s="28"/>
      <c r="Z23" s="29"/>
      <c r="AA23" s="30"/>
    </row>
    <row r="24" spans="2:27" s="31" customFormat="1">
      <c r="B24" s="24" t="str">
        <f>IF($C$12:C24&lt;&gt;"",COUNTA($C$12:C24),"")</f>
        <v/>
      </c>
      <c r="C24" s="25"/>
      <c r="D24" s="26"/>
      <c r="E24" s="26"/>
      <c r="F24" s="27"/>
      <c r="G24" s="28"/>
      <c r="H24" s="29"/>
      <c r="I24" s="34"/>
      <c r="J24" s="28"/>
      <c r="K24" s="29"/>
      <c r="L24" s="30"/>
      <c r="M24" s="28"/>
      <c r="N24" s="29"/>
      <c r="O24" s="30"/>
      <c r="P24" s="28"/>
      <c r="Q24" s="29"/>
      <c r="R24" s="30"/>
      <c r="S24" s="28"/>
      <c r="T24" s="29"/>
      <c r="U24" s="30"/>
      <c r="V24" s="28"/>
      <c r="W24" s="29"/>
      <c r="X24" s="30"/>
      <c r="Y24" s="28"/>
      <c r="Z24" s="29"/>
      <c r="AA24" s="30"/>
    </row>
    <row r="25" spans="2:27" s="31" customFormat="1">
      <c r="B25" s="24" t="str">
        <f>IF($C$12:C25&lt;&gt;"",COUNTA($C$12:C25),"")</f>
        <v/>
      </c>
      <c r="C25" s="25"/>
      <c r="D25" s="26"/>
      <c r="E25" s="26"/>
      <c r="F25" s="27"/>
      <c r="G25" s="28"/>
      <c r="H25" s="29"/>
      <c r="I25" s="34"/>
      <c r="J25" s="28"/>
      <c r="K25" s="29"/>
      <c r="L25" s="30"/>
      <c r="M25" s="28"/>
      <c r="N25" s="29"/>
      <c r="O25" s="30"/>
      <c r="P25" s="28"/>
      <c r="Q25" s="29"/>
      <c r="R25" s="30"/>
      <c r="S25" s="28"/>
      <c r="T25" s="29"/>
      <c r="U25" s="30"/>
      <c r="V25" s="28"/>
      <c r="W25" s="29"/>
      <c r="X25" s="30"/>
      <c r="Y25" s="28"/>
      <c r="Z25" s="29"/>
      <c r="AA25" s="30"/>
    </row>
    <row r="26" spans="2:27" s="31" customFormat="1">
      <c r="B26" s="24" t="str">
        <f>IF($C$12:C26&lt;&gt;"",COUNTA($C$12:C26),"")</f>
        <v/>
      </c>
      <c r="C26" s="25"/>
      <c r="D26" s="26"/>
      <c r="E26" s="26"/>
      <c r="F26" s="27"/>
      <c r="G26" s="28"/>
      <c r="H26" s="29"/>
      <c r="I26" s="30"/>
      <c r="J26" s="28"/>
      <c r="K26" s="29"/>
      <c r="L26" s="30"/>
      <c r="M26" s="28"/>
      <c r="N26" s="29"/>
      <c r="O26" s="30"/>
      <c r="P26" s="28"/>
      <c r="Q26" s="29"/>
      <c r="R26" s="30"/>
      <c r="S26" s="28"/>
      <c r="T26" s="29"/>
      <c r="U26" s="30"/>
      <c r="V26" s="28"/>
      <c r="W26" s="29"/>
      <c r="X26" s="30"/>
      <c r="Y26" s="28"/>
      <c r="Z26" s="29"/>
      <c r="AA26" s="30"/>
    </row>
    <row r="27" spans="2:27" s="31" customFormat="1">
      <c r="B27" s="24" t="str">
        <f>IF($C$12:C27&lt;&gt;"",COUNTA($C$12:C27),"")</f>
        <v/>
      </c>
      <c r="C27" s="25"/>
      <c r="D27" s="26"/>
      <c r="E27" s="26"/>
      <c r="F27" s="27"/>
      <c r="G27" s="28"/>
      <c r="H27" s="29"/>
      <c r="I27" s="30"/>
      <c r="J27" s="28"/>
      <c r="K27" s="29"/>
      <c r="L27" s="30"/>
      <c r="M27" s="28"/>
      <c r="N27" s="29"/>
      <c r="O27" s="30"/>
      <c r="P27" s="28"/>
      <c r="Q27" s="29"/>
      <c r="R27" s="30"/>
      <c r="S27" s="28"/>
      <c r="T27" s="29"/>
      <c r="U27" s="30"/>
      <c r="V27" s="28"/>
      <c r="W27" s="29"/>
      <c r="X27" s="30"/>
      <c r="Y27" s="28"/>
      <c r="Z27" s="29"/>
      <c r="AA27" s="30"/>
    </row>
    <row r="28" spans="2:27" s="31" customFormat="1">
      <c r="B28" s="24" t="str">
        <f>IF($C$12:C28&lt;&gt;"",COUNTA($C$12:C28),"")</f>
        <v/>
      </c>
      <c r="C28" s="25"/>
      <c r="D28" s="26"/>
      <c r="E28" s="26"/>
      <c r="F28" s="27"/>
      <c r="G28" s="28"/>
      <c r="H28" s="29"/>
      <c r="I28" s="30"/>
      <c r="J28" s="28"/>
      <c r="K28" s="29"/>
      <c r="L28" s="30"/>
      <c r="M28" s="28"/>
      <c r="N28" s="29"/>
      <c r="O28" s="30"/>
      <c r="P28" s="28"/>
      <c r="Q28" s="29"/>
      <c r="R28" s="30"/>
      <c r="S28" s="28"/>
      <c r="T28" s="29"/>
      <c r="U28" s="30"/>
      <c r="V28" s="28"/>
      <c r="W28" s="29"/>
      <c r="X28" s="30"/>
      <c r="Y28" s="28"/>
      <c r="Z28" s="29"/>
      <c r="AA28" s="30"/>
    </row>
    <row r="29" spans="2:27" s="31" customFormat="1">
      <c r="B29" s="24" t="str">
        <f>IF($C$12:C29&lt;&gt;"",COUNTA($C$12:C29),"")</f>
        <v/>
      </c>
      <c r="C29" s="25"/>
      <c r="D29" s="26"/>
      <c r="E29" s="26"/>
      <c r="F29" s="27"/>
      <c r="G29" s="28"/>
      <c r="H29" s="29"/>
      <c r="I29" s="30"/>
      <c r="J29" s="28"/>
      <c r="K29" s="29"/>
      <c r="L29" s="30"/>
      <c r="M29" s="28"/>
      <c r="N29" s="29"/>
      <c r="O29" s="30"/>
      <c r="P29" s="28"/>
      <c r="Q29" s="29"/>
      <c r="R29" s="30"/>
      <c r="S29" s="28"/>
      <c r="T29" s="29"/>
      <c r="U29" s="30"/>
      <c r="V29" s="28"/>
      <c r="W29" s="29"/>
      <c r="X29" s="30"/>
      <c r="Y29" s="28"/>
      <c r="Z29" s="29"/>
      <c r="AA29" s="30"/>
    </row>
    <row r="30" spans="2:27" s="31" customFormat="1">
      <c r="B30" s="24" t="str">
        <f>IF($C$12:C30&lt;&gt;"",COUNTA($C$12:C30),"")</f>
        <v/>
      </c>
      <c r="C30" s="25"/>
      <c r="D30" s="26"/>
      <c r="E30" s="26"/>
      <c r="F30" s="27"/>
      <c r="G30" s="28"/>
      <c r="H30" s="29"/>
      <c r="I30" s="30"/>
      <c r="J30" s="28"/>
      <c r="K30" s="29"/>
      <c r="L30" s="30"/>
      <c r="M30" s="28"/>
      <c r="N30" s="29"/>
      <c r="O30" s="30"/>
      <c r="P30" s="28"/>
      <c r="Q30" s="29"/>
      <c r="R30" s="30"/>
      <c r="S30" s="28"/>
      <c r="T30" s="29"/>
      <c r="U30" s="30"/>
      <c r="V30" s="28"/>
      <c r="W30" s="29"/>
      <c r="X30" s="30"/>
      <c r="Y30" s="28"/>
      <c r="Z30" s="29"/>
      <c r="AA30" s="30"/>
    </row>
    <row r="31" spans="2:27" s="31" customFormat="1">
      <c r="B31" s="24" t="str">
        <f>IF($C$12:C31&lt;&gt;"",COUNTA($C$12:C31),"")</f>
        <v/>
      </c>
      <c r="C31" s="25"/>
      <c r="D31" s="26"/>
      <c r="E31" s="26"/>
      <c r="F31" s="27"/>
      <c r="G31" s="28"/>
      <c r="H31" s="29"/>
      <c r="I31" s="30"/>
      <c r="J31" s="28"/>
      <c r="K31" s="29"/>
      <c r="L31" s="30"/>
      <c r="M31" s="28"/>
      <c r="N31" s="29"/>
      <c r="O31" s="30"/>
      <c r="P31" s="28"/>
      <c r="Q31" s="29"/>
      <c r="R31" s="30"/>
      <c r="S31" s="28"/>
      <c r="T31" s="29"/>
      <c r="U31" s="30"/>
      <c r="V31" s="28"/>
      <c r="W31" s="29"/>
      <c r="X31" s="30"/>
      <c r="Y31" s="28"/>
      <c r="Z31" s="29"/>
      <c r="AA31" s="30"/>
    </row>
  </sheetData>
  <autoFilter ref="B10:AB31"/>
  <mergeCells count="13">
    <mergeCell ref="B22:F22"/>
    <mergeCell ref="B11:F11"/>
    <mergeCell ref="B17:F17"/>
    <mergeCell ref="C8:F9"/>
    <mergeCell ref="G8:U8"/>
    <mergeCell ref="V8:AA8"/>
    <mergeCell ref="G9:I9"/>
    <mergeCell ref="J9:L9"/>
    <mergeCell ref="M9:O9"/>
    <mergeCell ref="P9:R9"/>
    <mergeCell ref="S9:U9"/>
    <mergeCell ref="V9:X9"/>
    <mergeCell ref="Y9:AA9"/>
  </mergeCells>
  <phoneticPr fontId="11"/>
  <conditionalFormatting sqref="S12:U12 C31:U31 D23:D24 B28:E29 B30:AA30 J12:L12 B12:F12 F18:F21 F13 F23:F29">
    <cfRule type="expression" dxfId="152" priority="428" stopIfTrue="1">
      <formula>IF($F12="低",1,0)</formula>
    </cfRule>
  </conditionalFormatting>
  <conditionalFormatting sqref="F18:F21 F12:F13 F23:F31">
    <cfRule type="expression" dxfId="151" priority="427" stopIfTrue="1">
      <formula>IF($F12="高",1,0)</formula>
    </cfRule>
  </conditionalFormatting>
  <conditionalFormatting sqref="B31">
    <cfRule type="expression" dxfId="150" priority="426" stopIfTrue="1">
      <formula>IF($F31="低",1,0)</formula>
    </cfRule>
  </conditionalFormatting>
  <conditionalFormatting sqref="M12:O12">
    <cfRule type="expression" dxfId="149" priority="425" stopIfTrue="1">
      <formula>IF($F12="低",1,0)</formula>
    </cfRule>
  </conditionalFormatting>
  <conditionalFormatting sqref="P12:R12">
    <cfRule type="expression" dxfId="148" priority="423" stopIfTrue="1">
      <formula>IF($F12="低",1,0)</formula>
    </cfRule>
  </conditionalFormatting>
  <conditionalFormatting sqref="B18 G18:L18 P18:U18">
    <cfRule type="expression" dxfId="147" priority="405" stopIfTrue="1">
      <formula>IF($F18="低",1,0)</formula>
    </cfRule>
  </conditionalFormatting>
  <conditionalFormatting sqref="J13:L13">
    <cfRule type="expression" dxfId="146" priority="391" stopIfTrue="1">
      <formula>IF($F13="低",1,0)</formula>
    </cfRule>
  </conditionalFormatting>
  <conditionalFormatting sqref="E13">
    <cfRule type="expression" dxfId="145" priority="392" stopIfTrue="1">
      <formula>IF($F13="低",1,0)</formula>
    </cfRule>
  </conditionalFormatting>
  <conditionalFormatting sqref="B13">
    <cfRule type="expression" dxfId="144" priority="394" stopIfTrue="1">
      <formula>IF($F13="低",1,0)</formula>
    </cfRule>
  </conditionalFormatting>
  <conditionalFormatting sqref="P13:R13">
    <cfRule type="expression" dxfId="143" priority="393" stopIfTrue="1">
      <formula>IF($F13="低",1,0)</formula>
    </cfRule>
  </conditionalFormatting>
  <conditionalFormatting sqref="S13:U13">
    <cfRule type="expression" dxfId="142" priority="390" stopIfTrue="1">
      <formula>IF($F13="低",1,0)</formula>
    </cfRule>
  </conditionalFormatting>
  <conditionalFormatting sqref="C13">
    <cfRule type="expression" dxfId="141" priority="387" stopIfTrue="1">
      <formula>IF($F13="低",1,0)</formula>
    </cfRule>
  </conditionalFormatting>
  <conditionalFormatting sqref="J26:U26 J19:L21 P19:U21 J27:L27 P27:U27 J29:L29 P29:U29 J28:U28 B19:B21 B23:B27 P23:U25 J23:L25">
    <cfRule type="expression" dxfId="140" priority="378" stopIfTrue="1">
      <formula>IF($F19="低",1,0)</formula>
    </cfRule>
  </conditionalFormatting>
  <conditionalFormatting sqref="C18">
    <cfRule type="expression" dxfId="139" priority="377" stopIfTrue="1">
      <formula>IF($F18="低",1,0)</formula>
    </cfRule>
  </conditionalFormatting>
  <conditionalFormatting sqref="W13:X13">
    <cfRule type="expression" dxfId="138" priority="370" stopIfTrue="1">
      <formula>IF($F13="低",1,0)</formula>
    </cfRule>
  </conditionalFormatting>
  <conditionalFormatting sqref="V12:X12 V31:X31">
    <cfRule type="expression" dxfId="137" priority="374" stopIfTrue="1">
      <formula>IF($F12="低",1,0)</formula>
    </cfRule>
  </conditionalFormatting>
  <conditionalFormatting sqref="V18:X18">
    <cfRule type="expression" dxfId="136" priority="372" stopIfTrue="1">
      <formula>IF($F18="低",1,0)</formula>
    </cfRule>
  </conditionalFormatting>
  <conditionalFormatting sqref="V19:X21 V27:X27 V29:X29 V23:X25">
    <cfRule type="expression" dxfId="135" priority="369" stopIfTrue="1">
      <formula>IF($F19="低",1,0)</formula>
    </cfRule>
  </conditionalFormatting>
  <conditionalFormatting sqref="Y31:AA31">
    <cfRule type="expression" dxfId="134" priority="368" stopIfTrue="1">
      <formula>IF($F31="低",1,0)</formula>
    </cfRule>
  </conditionalFormatting>
  <conditionalFormatting sqref="Z18:AA18">
    <cfRule type="expression" dxfId="133" priority="367" stopIfTrue="1">
      <formula>IF($F18="低",1,0)</formula>
    </cfRule>
  </conditionalFormatting>
  <conditionalFormatting sqref="Z13:AA13">
    <cfRule type="expression" dxfId="132" priority="365" stopIfTrue="1">
      <formula>IF($F13="低",1,0)</formula>
    </cfRule>
  </conditionalFormatting>
  <conditionalFormatting sqref="Z19:AA21 Z27:AA27 Z29:AA29 Z23:AA25">
    <cfRule type="expression" dxfId="131" priority="364" stopIfTrue="1">
      <formula>IF($F19="低",1,0)</formula>
    </cfRule>
  </conditionalFormatting>
  <conditionalFormatting sqref="Y18">
    <cfRule type="expression" dxfId="130" priority="359" stopIfTrue="1">
      <formula>IF($F18="低",1,0)</formula>
    </cfRule>
  </conditionalFormatting>
  <conditionalFormatting sqref="Y19:Y21 Y27 Y29 Y23:Y25">
    <cfRule type="expression" dxfId="129" priority="358" stopIfTrue="1">
      <formula>IF($F19="低",1,0)</formula>
    </cfRule>
  </conditionalFormatting>
  <conditionalFormatting sqref="D13">
    <cfRule type="expression" dxfId="128" priority="330" stopIfTrue="1">
      <formula>IF($F13="低",1,0)</formula>
    </cfRule>
  </conditionalFormatting>
  <conditionalFormatting sqref="V12:X12 V27:X27 W13:X13 V17:X21 V29:X31 V23:X25">
    <cfRule type="expression" dxfId="127" priority="329">
      <formula>IF($V12="★",1,0)</formula>
    </cfRule>
  </conditionalFormatting>
  <conditionalFormatting sqref="Y27:AA27 Z13:AA13 Y17:AA21 Y29:AA31 Y23:AA25">
    <cfRule type="expression" dxfId="126" priority="328">
      <formula>IF($Y13="★",1,0)</formula>
    </cfRule>
  </conditionalFormatting>
  <conditionalFormatting sqref="I20">
    <cfRule type="expression" dxfId="124" priority="311" stopIfTrue="1">
      <formula>IF($F20="低",1,0)</formula>
    </cfRule>
  </conditionalFormatting>
  <conditionalFormatting sqref="G21:I21">
    <cfRule type="expression" dxfId="123" priority="309" stopIfTrue="1">
      <formula>IF($F21="低",1,0)</formula>
    </cfRule>
  </conditionalFormatting>
  <conditionalFormatting sqref="G24:I24">
    <cfRule type="expression" dxfId="122" priority="308" stopIfTrue="1">
      <formula>IF($F24="低",1,0)</formula>
    </cfRule>
  </conditionalFormatting>
  <conditionalFormatting sqref="G25:I25">
    <cfRule type="expression" dxfId="121" priority="306" stopIfTrue="1">
      <formula>IF($F25="低",1,0)</formula>
    </cfRule>
  </conditionalFormatting>
  <conditionalFormatting sqref="G27:I27">
    <cfRule type="expression" dxfId="120" priority="305" stopIfTrue="1">
      <formula>IF($F27="低",1,0)</formula>
    </cfRule>
  </conditionalFormatting>
  <conditionalFormatting sqref="G29:I29">
    <cfRule type="expression" dxfId="119" priority="304" stopIfTrue="1">
      <formula>IF($F29="低",1,0)</formula>
    </cfRule>
  </conditionalFormatting>
  <conditionalFormatting sqref="G26:I26">
    <cfRule type="expression" dxfId="118" priority="303" stopIfTrue="1">
      <formula>IF($F26="低",1,0)</formula>
    </cfRule>
  </conditionalFormatting>
  <conditionalFormatting sqref="G28:I28">
    <cfRule type="expression" dxfId="117" priority="302" stopIfTrue="1">
      <formula>IF($F28="低",1,0)</formula>
    </cfRule>
  </conditionalFormatting>
  <conditionalFormatting sqref="V19:X21">
    <cfRule type="expression" dxfId="116" priority="289" stopIfTrue="1">
      <formula>IF($F19="低",1,0)</formula>
    </cfRule>
  </conditionalFormatting>
  <conditionalFormatting sqref="V23:X24">
    <cfRule type="expression" dxfId="115" priority="288" stopIfTrue="1">
      <formula>IF($F23="低",1,0)</formula>
    </cfRule>
  </conditionalFormatting>
  <conditionalFormatting sqref="V25:X25">
    <cfRule type="expression" dxfId="114" priority="287" stopIfTrue="1">
      <formula>IF($F25="低",1,0)</formula>
    </cfRule>
  </conditionalFormatting>
  <conditionalFormatting sqref="V27:X27">
    <cfRule type="expression" dxfId="113" priority="286" stopIfTrue="1">
      <formula>IF($F27="低",1,0)</formula>
    </cfRule>
  </conditionalFormatting>
  <conditionalFormatting sqref="V29:X29">
    <cfRule type="expression" dxfId="112" priority="285" stopIfTrue="1">
      <formula>IF($F29="低",1,0)</formula>
    </cfRule>
  </conditionalFormatting>
  <conditionalFormatting sqref="M18:O18">
    <cfRule type="expression" dxfId="111" priority="278" stopIfTrue="1">
      <formula>IF($F18="低",1,0)</formula>
    </cfRule>
  </conditionalFormatting>
  <conditionalFormatting sqref="M19:O21 M23:O23">
    <cfRule type="expression" dxfId="110" priority="277" stopIfTrue="1">
      <formula>IF($F19="低",1,0)</formula>
    </cfRule>
  </conditionalFormatting>
  <conditionalFormatting sqref="M24:O25">
    <cfRule type="expression" dxfId="109" priority="276" stopIfTrue="1">
      <formula>IF($F24="低",1,0)</formula>
    </cfRule>
  </conditionalFormatting>
  <conditionalFormatting sqref="M27:O27">
    <cfRule type="expression" dxfId="108" priority="275" stopIfTrue="1">
      <formula>IF($F27="低",1,0)</formula>
    </cfRule>
  </conditionalFormatting>
  <conditionalFormatting sqref="M29:O29">
    <cfRule type="expression" dxfId="107" priority="274" stopIfTrue="1">
      <formula>IF($F29="低",1,0)</formula>
    </cfRule>
  </conditionalFormatting>
  <conditionalFormatting sqref="Y12:AA12">
    <cfRule type="expression" dxfId="106" priority="259" stopIfTrue="1">
      <formula>IF($F12="低",1,0)</formula>
    </cfRule>
  </conditionalFormatting>
  <conditionalFormatting sqref="Y12:AA12">
    <cfRule type="expression" dxfId="105" priority="258">
      <formula>IF($V12="★",1,0)</formula>
    </cfRule>
  </conditionalFormatting>
  <conditionalFormatting sqref="V13">
    <cfRule type="expression" dxfId="104" priority="212" stopIfTrue="1">
      <formula>IF($F13="低",1,0)</formula>
    </cfRule>
  </conditionalFormatting>
  <conditionalFormatting sqref="V13">
    <cfRule type="expression" dxfId="103" priority="211">
      <formula>IF($V13="★",1,0)</formula>
    </cfRule>
  </conditionalFormatting>
  <conditionalFormatting sqref="Y13">
    <cfRule type="expression" dxfId="102" priority="210" stopIfTrue="1">
      <formula>IF($F13="低",1,0)</formula>
    </cfRule>
  </conditionalFormatting>
  <conditionalFormatting sqref="Y13">
    <cfRule type="expression" dxfId="101" priority="209">
      <formula>IF($V13="★",1,0)</formula>
    </cfRule>
  </conditionalFormatting>
  <conditionalFormatting sqref="M13:O13">
    <cfRule type="expression" dxfId="100" priority="204" stopIfTrue="1">
      <formula>IF($F13="低",1,0)</formula>
    </cfRule>
  </conditionalFormatting>
  <conditionalFormatting sqref="V26:X26">
    <cfRule type="expression" dxfId="99" priority="203" stopIfTrue="1">
      <formula>IF($F26="低",1,0)</formula>
    </cfRule>
  </conditionalFormatting>
  <conditionalFormatting sqref="V28:X28">
    <cfRule type="expression" dxfId="98" priority="202" stopIfTrue="1">
      <formula>IF($F28="低",1,0)</formula>
    </cfRule>
  </conditionalFormatting>
  <conditionalFormatting sqref="Y26:AA26">
    <cfRule type="expression" dxfId="97" priority="201" stopIfTrue="1">
      <formula>IF($F26="低",1,0)</formula>
    </cfRule>
  </conditionalFormatting>
  <conditionalFormatting sqref="Y28:AA28">
    <cfRule type="expression" dxfId="96" priority="200" stopIfTrue="1">
      <formula>IF($F28="低",1,0)</formula>
    </cfRule>
  </conditionalFormatting>
  <conditionalFormatting sqref="Z18:AA18">
    <cfRule type="expression" dxfId="95" priority="199" stopIfTrue="1">
      <formula>IF($F18="低",1,0)</formula>
    </cfRule>
  </conditionalFormatting>
  <conditionalFormatting sqref="Y18">
    <cfRule type="expression" dxfId="94" priority="198" stopIfTrue="1">
      <formula>IF($F18="低",1,0)</formula>
    </cfRule>
  </conditionalFormatting>
  <conditionalFormatting sqref="Z19:AA21 Z23:AA25">
    <cfRule type="expression" dxfId="93" priority="197" stopIfTrue="1">
      <formula>IF($F19="低",1,0)</formula>
    </cfRule>
  </conditionalFormatting>
  <conditionalFormatting sqref="Y19:Y21 Y23:Y25">
    <cfRule type="expression" dxfId="92" priority="196" stopIfTrue="1">
      <formula>IF($F19="低",1,0)</formula>
    </cfRule>
  </conditionalFormatting>
  <conditionalFormatting sqref="Z19:AA21 Z23:AA25">
    <cfRule type="expression" dxfId="91" priority="195" stopIfTrue="1">
      <formula>IF($F19="低",1,0)</formula>
    </cfRule>
  </conditionalFormatting>
  <conditionalFormatting sqref="Y19:Y21 Y23:Y25">
    <cfRule type="expression" dxfId="90" priority="194" stopIfTrue="1">
      <formula>IF($F19="低",1,0)</formula>
    </cfRule>
  </conditionalFormatting>
  <conditionalFormatting sqref="Z27:AA27">
    <cfRule type="expression" dxfId="89" priority="193" stopIfTrue="1">
      <formula>IF($F27="低",1,0)</formula>
    </cfRule>
  </conditionalFormatting>
  <conditionalFormatting sqref="Y27">
    <cfRule type="expression" dxfId="88" priority="192" stopIfTrue="1">
      <formula>IF($F27="低",1,0)</formula>
    </cfRule>
  </conditionalFormatting>
  <conditionalFormatting sqref="Z27:AA27">
    <cfRule type="expression" dxfId="87" priority="191" stopIfTrue="1">
      <formula>IF($F27="低",1,0)</formula>
    </cfRule>
  </conditionalFormatting>
  <conditionalFormatting sqref="Y27">
    <cfRule type="expression" dxfId="86" priority="190" stopIfTrue="1">
      <formula>IF($F27="低",1,0)</formula>
    </cfRule>
  </conditionalFormatting>
  <conditionalFormatting sqref="Z29:AA29">
    <cfRule type="expression" dxfId="85" priority="189" stopIfTrue="1">
      <formula>IF($F29="低",1,0)</formula>
    </cfRule>
  </conditionalFormatting>
  <conditionalFormatting sqref="Y29">
    <cfRule type="expression" dxfId="84" priority="188" stopIfTrue="1">
      <formula>IF($F29="低",1,0)</formula>
    </cfRule>
  </conditionalFormatting>
  <conditionalFormatting sqref="Z29:AA29">
    <cfRule type="expression" dxfId="83" priority="187" stopIfTrue="1">
      <formula>IF($F29="低",1,0)</formula>
    </cfRule>
  </conditionalFormatting>
  <conditionalFormatting sqref="Y29">
    <cfRule type="expression" dxfId="82" priority="186" stopIfTrue="1">
      <formula>IF($F29="低",1,0)</formula>
    </cfRule>
  </conditionalFormatting>
  <conditionalFormatting sqref="E23">
    <cfRule type="expression" dxfId="81" priority="176" stopIfTrue="1">
      <formula>IF($F23="低",1,0)</formula>
    </cfRule>
  </conditionalFormatting>
  <conditionalFormatting sqref="C21">
    <cfRule type="expression" dxfId="80" priority="179" stopIfTrue="1">
      <formula>IF($F21="低",1,0)</formula>
    </cfRule>
  </conditionalFormatting>
  <conditionalFormatting sqref="D21">
    <cfRule type="expression" dxfId="79" priority="178" stopIfTrue="1">
      <formula>IF($F21="低",1,0)</formula>
    </cfRule>
  </conditionalFormatting>
  <conditionalFormatting sqref="E21">
    <cfRule type="expression" dxfId="78" priority="177" stopIfTrue="1">
      <formula>IF($F21="低",1,0)</formula>
    </cfRule>
  </conditionalFormatting>
  <conditionalFormatting sqref="E24">
    <cfRule type="expression" dxfId="77" priority="175" stopIfTrue="1">
      <formula>IF($F24="低",1,0)</formula>
    </cfRule>
  </conditionalFormatting>
  <conditionalFormatting sqref="C23">
    <cfRule type="expression" dxfId="76" priority="174" stopIfTrue="1">
      <formula>IF($F23="低",1,0)</formula>
    </cfRule>
  </conditionalFormatting>
  <conditionalFormatting sqref="C24">
    <cfRule type="expression" dxfId="75" priority="173" stopIfTrue="1">
      <formula>IF($F24="低",1,0)</formula>
    </cfRule>
  </conditionalFormatting>
  <conditionalFormatting sqref="D26:D27">
    <cfRule type="expression" dxfId="74" priority="65" stopIfTrue="1">
      <formula>IF($F26="低",1,0)</formula>
    </cfRule>
  </conditionalFormatting>
  <conditionalFormatting sqref="C25">
    <cfRule type="expression" dxfId="73" priority="64" stopIfTrue="1">
      <formula>IF($F25="低",1,0)</formula>
    </cfRule>
  </conditionalFormatting>
  <conditionalFormatting sqref="D25">
    <cfRule type="expression" dxfId="72" priority="63" stopIfTrue="1">
      <formula>IF($F25="低",1,0)</formula>
    </cfRule>
  </conditionalFormatting>
  <conditionalFormatting sqref="E25">
    <cfRule type="expression" dxfId="71" priority="62" stopIfTrue="1">
      <formula>IF($F25="低",1,0)</formula>
    </cfRule>
  </conditionalFormatting>
  <conditionalFormatting sqref="E26">
    <cfRule type="expression" dxfId="70" priority="61" stopIfTrue="1">
      <formula>IF($F26="低",1,0)</formula>
    </cfRule>
  </conditionalFormatting>
  <conditionalFormatting sqref="E27">
    <cfRule type="expression" dxfId="69" priority="60" stopIfTrue="1">
      <formula>IF($F27="低",1,0)</formula>
    </cfRule>
  </conditionalFormatting>
  <conditionalFormatting sqref="C26">
    <cfRule type="expression" dxfId="68" priority="59" stopIfTrue="1">
      <formula>IF($F26="低",1,0)</formula>
    </cfRule>
  </conditionalFormatting>
  <conditionalFormatting sqref="C27">
    <cfRule type="expression" dxfId="67" priority="58" stopIfTrue="1">
      <formula>IF($F27="低",1,0)</formula>
    </cfRule>
  </conditionalFormatting>
  <conditionalFormatting sqref="F16">
    <cfRule type="expression" dxfId="66" priority="56" stopIfTrue="1">
      <formula>IF($F16="低",1,0)</formula>
    </cfRule>
  </conditionalFormatting>
  <conditionalFormatting sqref="F16">
    <cfRule type="expression" dxfId="65" priority="55" stopIfTrue="1">
      <formula>IF($F16="高",1,0)</formula>
    </cfRule>
  </conditionalFormatting>
  <conditionalFormatting sqref="J14:L14 J16:L16">
    <cfRule type="expression" dxfId="64" priority="51" stopIfTrue="1">
      <formula>IF($F14="低",1,0)</formula>
    </cfRule>
  </conditionalFormatting>
  <conditionalFormatting sqref="E14 E16">
    <cfRule type="expression" dxfId="63" priority="52" stopIfTrue="1">
      <formula>IF($F14="低",1,0)</formula>
    </cfRule>
  </conditionalFormatting>
  <conditionalFormatting sqref="B14 B16">
    <cfRule type="expression" dxfId="62" priority="54" stopIfTrue="1">
      <formula>IF($F14="低",1,0)</formula>
    </cfRule>
  </conditionalFormatting>
  <conditionalFormatting sqref="P14:R14 P16:R16">
    <cfRule type="expression" dxfId="61" priority="53" stopIfTrue="1">
      <formula>IF($F14="低",1,0)</formula>
    </cfRule>
  </conditionalFormatting>
  <conditionalFormatting sqref="S14:U14 S16:U16">
    <cfRule type="expression" dxfId="60" priority="50" stopIfTrue="1">
      <formula>IF($F14="低",1,0)</formula>
    </cfRule>
  </conditionalFormatting>
  <conditionalFormatting sqref="G14:I14 G16:I16">
    <cfRule type="expression" dxfId="59" priority="49" stopIfTrue="1">
      <formula>IF($F14="低",1,0)</formula>
    </cfRule>
  </conditionalFormatting>
  <conditionalFormatting sqref="C14 C16">
    <cfRule type="expression" dxfId="58" priority="48" stopIfTrue="1">
      <formula>IF($F14="低",1,0)</formula>
    </cfRule>
  </conditionalFormatting>
  <conditionalFormatting sqref="W14:X14 W16:X16">
    <cfRule type="expression" dxfId="57" priority="47" stopIfTrue="1">
      <formula>IF($F14="低",1,0)</formula>
    </cfRule>
  </conditionalFormatting>
  <conditionalFormatting sqref="Z14:AA14 Z16:AA16">
    <cfRule type="expression" dxfId="56" priority="46" stopIfTrue="1">
      <formula>IF($F14="低",1,0)</formula>
    </cfRule>
  </conditionalFormatting>
  <conditionalFormatting sqref="D14 D16">
    <cfRule type="expression" dxfId="55" priority="45" stopIfTrue="1">
      <formula>IF($F14="低",1,0)</formula>
    </cfRule>
  </conditionalFormatting>
  <conditionalFormatting sqref="W14:X14 W16:X16">
    <cfRule type="expression" dxfId="54" priority="44">
      <formula>IF($V14="★",1,0)</formula>
    </cfRule>
  </conditionalFormatting>
  <conditionalFormatting sqref="Z14:AA14 Z16:AA16">
    <cfRule type="expression" dxfId="53" priority="43">
      <formula>IF($Y14="★",1,0)</formula>
    </cfRule>
  </conditionalFormatting>
  <conditionalFormatting sqref="V14 V16">
    <cfRule type="expression" dxfId="52" priority="42" stopIfTrue="1">
      <formula>IF($F14="低",1,0)</formula>
    </cfRule>
  </conditionalFormatting>
  <conditionalFormatting sqref="V14 V16">
    <cfRule type="expression" dxfId="51" priority="41">
      <formula>IF($V14="★",1,0)</formula>
    </cfRule>
  </conditionalFormatting>
  <conditionalFormatting sqref="Y14 Y16">
    <cfRule type="expression" dxfId="50" priority="40" stopIfTrue="1">
      <formula>IF($F14="低",1,0)</formula>
    </cfRule>
  </conditionalFormatting>
  <conditionalFormatting sqref="Y14 Y16">
    <cfRule type="expression" dxfId="49" priority="39">
      <formula>IF($V14="★",1,0)</formula>
    </cfRule>
  </conditionalFormatting>
  <conditionalFormatting sqref="M14:O14 M16:O16">
    <cfRule type="expression" dxfId="48" priority="38" stopIfTrue="1">
      <formula>IF($F14="低",1,0)</formula>
    </cfRule>
  </conditionalFormatting>
  <conditionalFormatting sqref="C19">
    <cfRule type="expression" dxfId="47" priority="37" stopIfTrue="1">
      <formula>IF($F19="低",1,0)</formula>
    </cfRule>
  </conditionalFormatting>
  <conditionalFormatting sqref="D18">
    <cfRule type="expression" dxfId="46" priority="36" stopIfTrue="1">
      <formula>IF($F18="低",1,0)</formula>
    </cfRule>
  </conditionalFormatting>
  <conditionalFormatting sqref="E18">
    <cfRule type="expression" dxfId="45" priority="35" stopIfTrue="1">
      <formula>IF($F18="低",1,0)</formula>
    </cfRule>
  </conditionalFormatting>
  <conditionalFormatting sqref="D19">
    <cfRule type="expression" dxfId="44" priority="34" stopIfTrue="1">
      <formula>IF($F19="低",1,0)</formula>
    </cfRule>
  </conditionalFormatting>
  <conditionalFormatting sqref="E19">
    <cfRule type="expression" dxfId="43" priority="33" stopIfTrue="1">
      <formula>IF($F19="低",1,0)</formula>
    </cfRule>
  </conditionalFormatting>
  <conditionalFormatting sqref="F14">
    <cfRule type="expression" dxfId="42" priority="32" stopIfTrue="1">
      <formula>IF($F14="低",1,0)</formula>
    </cfRule>
  </conditionalFormatting>
  <conditionalFormatting sqref="F14">
    <cfRule type="expression" dxfId="41" priority="31" stopIfTrue="1">
      <formula>IF($F14="高",1,0)</formula>
    </cfRule>
  </conditionalFormatting>
  <conditionalFormatting sqref="F15">
    <cfRule type="expression" dxfId="40" priority="30" stopIfTrue="1">
      <formula>IF($F15="低",1,0)</formula>
    </cfRule>
  </conditionalFormatting>
  <conditionalFormatting sqref="F15">
    <cfRule type="expression" dxfId="39" priority="29" stopIfTrue="1">
      <formula>IF($F15="高",1,0)</formula>
    </cfRule>
  </conditionalFormatting>
  <conditionalFormatting sqref="J15:L15">
    <cfRule type="expression" dxfId="38" priority="25" stopIfTrue="1">
      <formula>IF($F15="低",1,0)</formula>
    </cfRule>
  </conditionalFormatting>
  <conditionalFormatting sqref="E15">
    <cfRule type="expression" dxfId="37" priority="26" stopIfTrue="1">
      <formula>IF($F15="低",1,0)</formula>
    </cfRule>
  </conditionalFormatting>
  <conditionalFormatting sqref="B15">
    <cfRule type="expression" dxfId="36" priority="28" stopIfTrue="1">
      <formula>IF($F15="低",1,0)</formula>
    </cfRule>
  </conditionalFormatting>
  <conditionalFormatting sqref="P15:R15">
    <cfRule type="expression" dxfId="35" priority="27" stopIfTrue="1">
      <formula>IF($F15="低",1,0)</formula>
    </cfRule>
  </conditionalFormatting>
  <conditionalFormatting sqref="S15:U15">
    <cfRule type="expression" dxfId="34" priority="24" stopIfTrue="1">
      <formula>IF($F15="低",1,0)</formula>
    </cfRule>
  </conditionalFormatting>
  <conditionalFormatting sqref="C15">
    <cfRule type="expression" dxfId="32" priority="22" stopIfTrue="1">
      <formula>IF($F15="低",1,0)</formula>
    </cfRule>
  </conditionalFormatting>
  <conditionalFormatting sqref="W15:X15">
    <cfRule type="expression" dxfId="31" priority="21" stopIfTrue="1">
      <formula>IF($F15="低",1,0)</formula>
    </cfRule>
  </conditionalFormatting>
  <conditionalFormatting sqref="Z15:AA15">
    <cfRule type="expression" dxfId="30" priority="20" stopIfTrue="1">
      <formula>IF($F15="低",1,0)</formula>
    </cfRule>
  </conditionalFormatting>
  <conditionalFormatting sqref="D15">
    <cfRule type="expression" dxfId="29" priority="19" stopIfTrue="1">
      <formula>IF($F15="低",1,0)</formula>
    </cfRule>
  </conditionalFormatting>
  <conditionalFormatting sqref="W15:X15">
    <cfRule type="expression" dxfId="28" priority="18">
      <formula>IF($V15="★",1,0)</formula>
    </cfRule>
  </conditionalFormatting>
  <conditionalFormatting sqref="Z15:AA15">
    <cfRule type="expression" dxfId="27" priority="17">
      <formula>IF($Y15="★",1,0)</formula>
    </cfRule>
  </conditionalFormatting>
  <conditionalFormatting sqref="V15">
    <cfRule type="expression" dxfId="26" priority="16" stopIfTrue="1">
      <formula>IF($F15="低",1,0)</formula>
    </cfRule>
  </conditionalFormatting>
  <conditionalFormatting sqref="V15">
    <cfRule type="expression" dxfId="25" priority="15">
      <formula>IF($V15="★",1,0)</formula>
    </cfRule>
  </conditionalFormatting>
  <conditionalFormatting sqref="Y15">
    <cfRule type="expression" dxfId="24" priority="14" stopIfTrue="1">
      <formula>IF($F15="低",1,0)</formula>
    </cfRule>
  </conditionalFormatting>
  <conditionalFormatting sqref="Y15">
    <cfRule type="expression" dxfId="23" priority="13">
      <formula>IF($V15="★",1,0)</formula>
    </cfRule>
  </conditionalFormatting>
  <conditionalFormatting sqref="M15:O15">
    <cfRule type="expression" dxfId="22" priority="12" stopIfTrue="1">
      <formula>IF($F15="低",1,0)</formula>
    </cfRule>
  </conditionalFormatting>
  <conditionalFormatting sqref="E20">
    <cfRule type="expression" dxfId="21" priority="11" stopIfTrue="1">
      <formula>IF($F20="低",1,0)</formula>
    </cfRule>
  </conditionalFormatting>
  <conditionalFormatting sqref="C20">
    <cfRule type="expression" dxfId="20" priority="10" stopIfTrue="1">
      <formula>IF($F20="低",1,0)</formula>
    </cfRule>
  </conditionalFormatting>
  <conditionalFormatting sqref="D20">
    <cfRule type="expression" dxfId="19" priority="9" stopIfTrue="1">
      <formula>IF($F20="低",1,0)</formula>
    </cfRule>
  </conditionalFormatting>
  <conditionalFormatting sqref="V22:X22">
    <cfRule type="expression" dxfId="18" priority="8">
      <formula>IF($V22="★",1,0)</formula>
    </cfRule>
  </conditionalFormatting>
  <conditionalFormatting sqref="Y22:AA22">
    <cfRule type="expression" dxfId="17" priority="7">
      <formula>IF($Y22="★",1,0)</formula>
    </cfRule>
  </conditionalFormatting>
  <conditionalFormatting sqref="G12:I12">
    <cfRule type="expression" dxfId="16" priority="6" stopIfTrue="1">
      <formula>IF($F12="低",1,0)</formula>
    </cfRule>
  </conditionalFormatting>
  <conditionalFormatting sqref="G13:I13">
    <cfRule type="expression" dxfId="15" priority="5" stopIfTrue="1">
      <formula>IF($F13="低",1,0)</formula>
    </cfRule>
  </conditionalFormatting>
  <conditionalFormatting sqref="G23:I23">
    <cfRule type="expression" dxfId="14" priority="4" stopIfTrue="1">
      <formula>IF($F23="低",1,0)</formula>
    </cfRule>
  </conditionalFormatting>
  <conditionalFormatting sqref="G19:I19">
    <cfRule type="expression" dxfId="13" priority="3" stopIfTrue="1">
      <formula>IF($F19="低",1,0)</formula>
    </cfRule>
  </conditionalFormatting>
  <conditionalFormatting sqref="G20:H20">
    <cfRule type="expression" dxfId="12" priority="2" stopIfTrue="1">
      <formula>IF($F20="低",1,0)</formula>
    </cfRule>
  </conditionalFormatting>
  <conditionalFormatting sqref="G15:I15">
    <cfRule type="expression" dxfId="11" priority="1" stopIfTrue="1">
      <formula>IF($F15="低",1,0)</formula>
    </cfRule>
  </conditionalFormatting>
  <dataValidations count="1">
    <dataValidation type="list" allowBlank="1" showInputMessage="1" showErrorMessage="1" sqref="F12:F16 F18:F21 F23:F31">
      <formula1>"高,中,低"</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150"/>
  <sheetViews>
    <sheetView showGridLines="0" topLeftCell="A13" zoomScale="85" zoomScaleNormal="85" zoomScaleSheetLayoutView="70" workbookViewId="0">
      <selection activeCell="J1" sqref="J1"/>
    </sheetView>
  </sheetViews>
  <sheetFormatPr defaultColWidth="4.7265625" defaultRowHeight="17" customHeight="1"/>
  <sheetData>
    <row r="1" spans="1:46" ht="17" customHeight="1">
      <c r="A1" s="3" t="s">
        <v>166</v>
      </c>
      <c r="J1" s="72"/>
    </row>
    <row r="3" spans="1:46" ht="17" customHeight="1">
      <c r="B3" t="s">
        <v>519</v>
      </c>
    </row>
    <row r="4" spans="1:46" ht="17" customHeight="1">
      <c r="A4" s="32"/>
      <c r="B4" t="s">
        <v>57</v>
      </c>
      <c r="G4" t="s">
        <v>58</v>
      </c>
      <c r="J4" t="s">
        <v>145</v>
      </c>
    </row>
    <row r="5" spans="1:46" ht="17" customHeight="1">
      <c r="A5" s="32"/>
      <c r="B5" s="192" t="s">
        <v>56</v>
      </c>
      <c r="C5" s="195" t="s">
        <v>531</v>
      </c>
      <c r="D5" s="196"/>
      <c r="E5" s="196"/>
      <c r="F5" s="196"/>
      <c r="G5" s="196"/>
      <c r="H5" s="196"/>
      <c r="I5" s="196"/>
      <c r="J5" s="196"/>
      <c r="K5" s="196"/>
      <c r="L5" s="196"/>
      <c r="M5" s="196"/>
      <c r="N5" s="196"/>
      <c r="O5" s="196"/>
      <c r="P5" s="196"/>
      <c r="Q5" s="196"/>
      <c r="R5" s="196"/>
      <c r="S5" s="196"/>
      <c r="T5" s="196"/>
      <c r="U5" s="196"/>
      <c r="V5" s="196"/>
      <c r="W5" s="196"/>
      <c r="X5" s="196"/>
      <c r="Y5" s="196"/>
      <c r="Z5" s="196"/>
      <c r="AA5" s="197"/>
      <c r="AB5" s="195" t="s">
        <v>550</v>
      </c>
      <c r="AC5" s="196"/>
      <c r="AD5" s="196"/>
      <c r="AE5" s="196"/>
      <c r="AF5" s="196"/>
      <c r="AG5" s="196"/>
      <c r="AH5" s="196"/>
      <c r="AI5" s="196"/>
      <c r="AJ5" s="196"/>
      <c r="AK5" s="196"/>
      <c r="AL5" s="196"/>
      <c r="AM5" s="196"/>
      <c r="AN5" s="196"/>
      <c r="AO5" s="196"/>
      <c r="AP5" s="196"/>
      <c r="AQ5" s="196"/>
      <c r="AR5" s="196"/>
      <c r="AS5" s="196"/>
      <c r="AT5" s="197"/>
    </row>
    <row r="6" spans="1:46" ht="17" customHeight="1">
      <c r="B6" s="193"/>
      <c r="C6" s="198" t="s">
        <v>61</v>
      </c>
      <c r="D6" s="199"/>
      <c r="E6" s="199"/>
      <c r="F6" s="199"/>
      <c r="G6" s="199"/>
      <c r="H6" s="199"/>
      <c r="I6" s="199"/>
      <c r="J6" s="199"/>
      <c r="K6" s="199"/>
      <c r="L6" s="199"/>
      <c r="M6" s="199"/>
      <c r="N6" s="199"/>
      <c r="O6" s="199"/>
      <c r="P6" s="199"/>
      <c r="Q6" s="199"/>
      <c r="R6" s="199"/>
      <c r="S6" s="199"/>
      <c r="T6" s="199"/>
      <c r="U6" s="199"/>
      <c r="V6" s="199"/>
      <c r="W6" s="199"/>
      <c r="X6" s="199"/>
      <c r="Y6" s="199"/>
      <c r="Z6" s="199"/>
      <c r="AA6" s="200"/>
      <c r="AB6" s="201" t="s">
        <v>59</v>
      </c>
      <c r="AC6" s="202"/>
      <c r="AD6" s="202"/>
      <c r="AE6" s="202"/>
      <c r="AF6" s="202"/>
      <c r="AG6" s="202"/>
      <c r="AH6" s="202"/>
      <c r="AI6" s="202"/>
      <c r="AJ6" s="202"/>
      <c r="AK6" s="202"/>
      <c r="AL6" s="202"/>
      <c r="AM6" s="202"/>
      <c r="AN6" s="202"/>
      <c r="AO6" s="202"/>
      <c r="AP6" s="202"/>
      <c r="AQ6" s="202"/>
      <c r="AR6" s="202"/>
      <c r="AS6" s="202"/>
      <c r="AT6" s="203"/>
    </row>
    <row r="7" spans="1:46" ht="17" customHeight="1">
      <c r="B7" s="193"/>
      <c r="C7" s="204" t="s">
        <v>62</v>
      </c>
      <c r="D7" s="204"/>
      <c r="E7" s="204"/>
      <c r="F7" s="204" t="s">
        <v>64</v>
      </c>
      <c r="G7" s="204"/>
      <c r="H7" s="204"/>
      <c r="I7" s="204"/>
      <c r="J7" s="204" t="s">
        <v>83</v>
      </c>
      <c r="K7" s="204"/>
      <c r="L7" s="204"/>
      <c r="M7" s="204" t="s">
        <v>66</v>
      </c>
      <c r="N7" s="204"/>
      <c r="O7" s="204"/>
      <c r="P7" s="204"/>
      <c r="Q7" s="204"/>
      <c r="R7" s="204"/>
      <c r="S7" s="204"/>
      <c r="T7" s="204"/>
      <c r="U7" s="204"/>
      <c r="V7" s="204"/>
      <c r="W7" s="204"/>
      <c r="X7" s="204"/>
      <c r="Y7" s="204"/>
      <c r="Z7" s="204"/>
      <c r="AA7" s="204"/>
      <c r="AB7" s="205" t="s">
        <v>60</v>
      </c>
      <c r="AC7" s="205"/>
      <c r="AD7" s="205"/>
      <c r="AE7" s="205"/>
      <c r="AF7" s="205"/>
      <c r="AG7" s="212" t="s">
        <v>146</v>
      </c>
      <c r="AH7" s="213"/>
      <c r="AI7" s="214"/>
      <c r="AJ7" s="218" t="s">
        <v>71</v>
      </c>
      <c r="AK7" s="219"/>
      <c r="AL7" s="219"/>
      <c r="AM7" s="219"/>
      <c r="AN7" s="219"/>
      <c r="AO7" s="219"/>
      <c r="AP7" s="219"/>
      <c r="AQ7" s="219"/>
      <c r="AR7" s="219"/>
      <c r="AS7" s="219"/>
      <c r="AT7" s="220"/>
    </row>
    <row r="8" spans="1:46" ht="17" customHeight="1">
      <c r="B8" s="194"/>
      <c r="C8" s="221" t="s">
        <v>63</v>
      </c>
      <c r="D8" s="221"/>
      <c r="E8" s="221"/>
      <c r="F8" s="221" t="s">
        <v>65</v>
      </c>
      <c r="G8" s="221"/>
      <c r="H8" s="221"/>
      <c r="I8" s="221"/>
      <c r="J8" s="221" t="s">
        <v>84</v>
      </c>
      <c r="K8" s="221"/>
      <c r="L8" s="221"/>
      <c r="M8" s="221" t="s">
        <v>67</v>
      </c>
      <c r="N8" s="221"/>
      <c r="O8" s="221"/>
      <c r="P8" s="221"/>
      <c r="Q8" s="221"/>
      <c r="R8" s="221"/>
      <c r="S8" s="221"/>
      <c r="T8" s="221"/>
      <c r="U8" s="221"/>
      <c r="V8" s="221"/>
      <c r="W8" s="221"/>
      <c r="X8" s="221"/>
      <c r="Y8" s="221"/>
      <c r="Z8" s="221"/>
      <c r="AA8" s="221"/>
      <c r="AB8" s="205"/>
      <c r="AC8" s="205"/>
      <c r="AD8" s="205"/>
      <c r="AE8" s="205"/>
      <c r="AF8" s="205"/>
      <c r="AG8" s="215"/>
      <c r="AH8" s="216"/>
      <c r="AI8" s="217"/>
      <c r="AJ8" s="222" t="s">
        <v>72</v>
      </c>
      <c r="AK8" s="222"/>
      <c r="AL8" s="222"/>
      <c r="AM8" s="222"/>
      <c r="AN8" s="222" t="s">
        <v>73</v>
      </c>
      <c r="AO8" s="222"/>
      <c r="AP8" s="222"/>
      <c r="AQ8" s="222"/>
      <c r="AR8" s="223" t="s">
        <v>75</v>
      </c>
      <c r="AS8" s="223"/>
      <c r="AT8" s="223"/>
    </row>
    <row r="9" spans="1:46" ht="17" customHeight="1">
      <c r="B9" s="56">
        <v>1</v>
      </c>
      <c r="C9" s="210" t="s">
        <v>68</v>
      </c>
      <c r="D9" s="211"/>
      <c r="E9" s="211"/>
      <c r="F9" s="206" t="s">
        <v>69</v>
      </c>
      <c r="G9" s="206"/>
      <c r="H9" s="206"/>
      <c r="I9" s="206"/>
      <c r="J9" s="206">
        <v>20</v>
      </c>
      <c r="K9" s="206"/>
      <c r="L9" s="206"/>
      <c r="M9" s="206" t="s">
        <v>70</v>
      </c>
      <c r="N9" s="206"/>
      <c r="O9" s="206"/>
      <c r="P9" s="206"/>
      <c r="Q9" s="206"/>
      <c r="R9" s="206"/>
      <c r="S9" s="206"/>
      <c r="T9" s="206"/>
      <c r="U9" s="206"/>
      <c r="V9" s="206"/>
      <c r="W9" s="206"/>
      <c r="X9" s="206"/>
      <c r="Y9" s="206"/>
      <c r="Z9" s="206"/>
      <c r="AA9" s="206"/>
      <c r="AB9" s="206" t="s">
        <v>74</v>
      </c>
      <c r="AC9" s="206"/>
      <c r="AD9" s="206"/>
      <c r="AE9" s="206"/>
      <c r="AF9" s="206"/>
      <c r="AG9" s="207">
        <v>20</v>
      </c>
      <c r="AH9" s="208"/>
      <c r="AI9" s="209"/>
      <c r="AJ9" s="206" t="s">
        <v>76</v>
      </c>
      <c r="AK9" s="206"/>
      <c r="AL9" s="206"/>
      <c r="AM9" s="206"/>
      <c r="AN9" s="206" t="s">
        <v>76</v>
      </c>
      <c r="AO9" s="206"/>
      <c r="AP9" s="206"/>
      <c r="AQ9" s="206"/>
      <c r="AR9" s="207">
        <v>1</v>
      </c>
      <c r="AS9" s="208"/>
      <c r="AT9" s="209"/>
    </row>
    <row r="10" spans="1:46" ht="17" customHeight="1">
      <c r="B10" s="56">
        <v>2</v>
      </c>
      <c r="C10" s="210" t="s">
        <v>68</v>
      </c>
      <c r="D10" s="211"/>
      <c r="E10" s="211"/>
      <c r="F10" s="206" t="s">
        <v>77</v>
      </c>
      <c r="G10" s="206"/>
      <c r="H10" s="206"/>
      <c r="I10" s="206"/>
      <c r="J10" s="206">
        <v>20</v>
      </c>
      <c r="K10" s="206"/>
      <c r="L10" s="206"/>
      <c r="M10" s="206" t="s">
        <v>79</v>
      </c>
      <c r="N10" s="206"/>
      <c r="O10" s="206"/>
      <c r="P10" s="206"/>
      <c r="Q10" s="206"/>
      <c r="R10" s="206"/>
      <c r="S10" s="206"/>
      <c r="T10" s="206"/>
      <c r="U10" s="206"/>
      <c r="V10" s="206"/>
      <c r="W10" s="206"/>
      <c r="X10" s="206"/>
      <c r="Y10" s="206"/>
      <c r="Z10" s="206"/>
      <c r="AA10" s="206"/>
      <c r="AB10" s="206" t="s">
        <v>78</v>
      </c>
      <c r="AC10" s="206"/>
      <c r="AD10" s="206"/>
      <c r="AE10" s="206"/>
      <c r="AF10" s="206"/>
      <c r="AG10" s="207">
        <v>20</v>
      </c>
      <c r="AH10" s="208"/>
      <c r="AI10" s="209"/>
      <c r="AJ10" s="206" t="s">
        <v>80</v>
      </c>
      <c r="AK10" s="206"/>
      <c r="AL10" s="206"/>
      <c r="AM10" s="206"/>
      <c r="AN10" s="206" t="s">
        <v>81</v>
      </c>
      <c r="AO10" s="206"/>
      <c r="AP10" s="206"/>
      <c r="AQ10" s="206"/>
      <c r="AR10" s="207">
        <v>2</v>
      </c>
      <c r="AS10" s="208"/>
      <c r="AT10" s="209"/>
    </row>
    <row r="11" spans="1:46" ht="17" customHeight="1">
      <c r="B11" s="89">
        <v>3</v>
      </c>
      <c r="C11" s="230" t="s">
        <v>96</v>
      </c>
      <c r="D11" s="231"/>
      <c r="E11" s="232"/>
      <c r="F11" s="239" t="s">
        <v>77</v>
      </c>
      <c r="G11" s="239"/>
      <c r="H11" s="239"/>
      <c r="I11" s="239"/>
      <c r="J11" s="239">
        <v>10</v>
      </c>
      <c r="K11" s="239"/>
      <c r="L11" s="239"/>
      <c r="M11" s="239" t="s">
        <v>1038</v>
      </c>
      <c r="N11" s="239"/>
      <c r="O11" s="239"/>
      <c r="P11" s="239"/>
      <c r="Q11" s="239"/>
      <c r="R11" s="239"/>
      <c r="S11" s="239"/>
      <c r="T11" s="239"/>
      <c r="U11" s="239"/>
      <c r="V11" s="239"/>
      <c r="W11" s="239"/>
      <c r="X11" s="239"/>
      <c r="Y11" s="239"/>
      <c r="Z11" s="239"/>
      <c r="AA11" s="239"/>
      <c r="AB11" s="239" t="s">
        <v>78</v>
      </c>
      <c r="AC11" s="239"/>
      <c r="AD11" s="239"/>
      <c r="AE11" s="239"/>
      <c r="AF11" s="239"/>
      <c r="AG11" s="224">
        <v>10</v>
      </c>
      <c r="AH11" s="225"/>
      <c r="AI11" s="226"/>
      <c r="AJ11" s="206" t="s">
        <v>80</v>
      </c>
      <c r="AK11" s="206"/>
      <c r="AL11" s="206"/>
      <c r="AM11" s="206"/>
      <c r="AN11" s="206" t="s">
        <v>81</v>
      </c>
      <c r="AO11" s="206"/>
      <c r="AP11" s="206"/>
      <c r="AQ11" s="206"/>
      <c r="AR11" s="224">
        <v>4</v>
      </c>
      <c r="AS11" s="225"/>
      <c r="AT11" s="226"/>
    </row>
    <row r="12" spans="1:46" ht="17" customHeight="1">
      <c r="B12" s="91"/>
      <c r="C12" s="233"/>
      <c r="D12" s="234"/>
      <c r="E12" s="235"/>
      <c r="F12" s="227"/>
      <c r="G12" s="227"/>
      <c r="H12" s="227"/>
      <c r="I12" s="227"/>
      <c r="J12" s="227"/>
      <c r="K12" s="227"/>
      <c r="L12" s="227"/>
      <c r="M12" s="227"/>
      <c r="N12" s="227"/>
      <c r="O12" s="227"/>
      <c r="P12" s="227"/>
      <c r="Q12" s="227"/>
      <c r="R12" s="227"/>
      <c r="S12" s="227"/>
      <c r="T12" s="227"/>
      <c r="U12" s="227"/>
      <c r="V12" s="227"/>
      <c r="W12" s="227"/>
      <c r="X12" s="227"/>
      <c r="Y12" s="227"/>
      <c r="Z12" s="227"/>
      <c r="AA12" s="227"/>
      <c r="AB12" s="227"/>
      <c r="AC12" s="227"/>
      <c r="AD12" s="227"/>
      <c r="AE12" s="227"/>
      <c r="AF12" s="227"/>
      <c r="AG12" s="228"/>
      <c r="AH12" s="153"/>
      <c r="AI12" s="229"/>
      <c r="AJ12" s="206" t="s">
        <v>76</v>
      </c>
      <c r="AK12" s="206"/>
      <c r="AL12" s="206"/>
      <c r="AM12" s="206"/>
      <c r="AN12" s="206" t="s">
        <v>1040</v>
      </c>
      <c r="AO12" s="206"/>
      <c r="AP12" s="206"/>
      <c r="AQ12" s="206"/>
      <c r="AR12" s="228"/>
      <c r="AS12" s="153"/>
      <c r="AT12" s="229"/>
    </row>
    <row r="13" spans="1:46" ht="17" customHeight="1">
      <c r="B13" s="90"/>
      <c r="C13" s="236"/>
      <c r="D13" s="237"/>
      <c r="E13" s="238"/>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1"/>
      <c r="AH13" s="242"/>
      <c r="AI13" s="243"/>
      <c r="AJ13" s="206" t="s">
        <v>82</v>
      </c>
      <c r="AK13" s="206"/>
      <c r="AL13" s="206"/>
      <c r="AM13" s="206"/>
      <c r="AN13" s="206" t="s">
        <v>1039</v>
      </c>
      <c r="AO13" s="206"/>
      <c r="AP13" s="206"/>
      <c r="AQ13" s="206"/>
      <c r="AR13" s="228"/>
      <c r="AS13" s="153"/>
      <c r="AT13" s="229"/>
    </row>
    <row r="14" spans="1:46" ht="17" customHeight="1">
      <c r="B14" s="89">
        <v>4</v>
      </c>
      <c r="C14" s="230" t="s">
        <v>96</v>
      </c>
      <c r="D14" s="231"/>
      <c r="E14" s="232"/>
      <c r="F14" s="239" t="s">
        <v>77</v>
      </c>
      <c r="G14" s="239"/>
      <c r="H14" s="239"/>
      <c r="I14" s="239"/>
      <c r="J14" s="239">
        <v>20</v>
      </c>
      <c r="K14" s="239"/>
      <c r="L14" s="224"/>
      <c r="M14" s="239" t="s">
        <v>539</v>
      </c>
      <c r="N14" s="239"/>
      <c r="O14" s="239"/>
      <c r="P14" s="239"/>
      <c r="Q14" s="239"/>
      <c r="R14" s="239"/>
      <c r="S14" s="239"/>
      <c r="T14" s="239"/>
      <c r="U14" s="239"/>
      <c r="V14" s="239"/>
      <c r="W14" s="239"/>
      <c r="X14" s="239"/>
      <c r="Y14" s="239"/>
      <c r="Z14" s="239"/>
      <c r="AA14" s="239"/>
      <c r="AB14" s="239" t="s">
        <v>78</v>
      </c>
      <c r="AC14" s="239"/>
      <c r="AD14" s="239"/>
      <c r="AE14" s="239"/>
      <c r="AF14" s="239"/>
      <c r="AG14" s="224">
        <v>20</v>
      </c>
      <c r="AH14" s="225"/>
      <c r="AI14" s="226"/>
      <c r="AJ14" s="206" t="s">
        <v>86</v>
      </c>
      <c r="AK14" s="206"/>
      <c r="AL14" s="206"/>
      <c r="AM14" s="206"/>
      <c r="AN14" s="206" t="s">
        <v>85</v>
      </c>
      <c r="AO14" s="206"/>
      <c r="AP14" s="206"/>
      <c r="AQ14" s="207"/>
      <c r="AR14" s="224">
        <v>20</v>
      </c>
      <c r="AS14" s="225"/>
      <c r="AT14" s="226"/>
    </row>
    <row r="15" spans="1:46" ht="17" customHeight="1">
      <c r="B15" s="86"/>
      <c r="C15" s="233"/>
      <c r="D15" s="234"/>
      <c r="E15" s="235"/>
      <c r="F15" s="227"/>
      <c r="G15" s="227"/>
      <c r="H15" s="227"/>
      <c r="I15" s="227"/>
      <c r="J15" s="227"/>
      <c r="K15" s="227"/>
      <c r="L15" s="228"/>
      <c r="M15" s="227" t="s">
        <v>95</v>
      </c>
      <c r="N15" s="227"/>
      <c r="O15" s="227"/>
      <c r="P15" s="227"/>
      <c r="Q15" s="227"/>
      <c r="R15" s="227"/>
      <c r="S15" s="227"/>
      <c r="T15" s="227"/>
      <c r="U15" s="227"/>
      <c r="V15" s="227"/>
      <c r="W15" s="227"/>
      <c r="X15" s="227"/>
      <c r="Y15" s="227"/>
      <c r="Z15" s="227"/>
      <c r="AA15" s="227"/>
      <c r="AB15" s="227"/>
      <c r="AC15" s="227"/>
      <c r="AD15" s="227"/>
      <c r="AE15" s="227"/>
      <c r="AF15" s="227"/>
      <c r="AG15" s="228"/>
      <c r="AH15" s="153"/>
      <c r="AI15" s="229"/>
      <c r="AJ15" s="206" t="s">
        <v>87</v>
      </c>
      <c r="AK15" s="206"/>
      <c r="AL15" s="206"/>
      <c r="AM15" s="206"/>
      <c r="AN15" s="206" t="s">
        <v>88</v>
      </c>
      <c r="AO15" s="206"/>
      <c r="AP15" s="206"/>
      <c r="AQ15" s="207"/>
      <c r="AR15" s="228" t="s">
        <v>97</v>
      </c>
      <c r="AS15" s="153"/>
      <c r="AT15" s="229"/>
    </row>
    <row r="16" spans="1:46" ht="17" customHeight="1">
      <c r="B16" s="45"/>
      <c r="C16" s="233"/>
      <c r="D16" s="234"/>
      <c r="E16" s="235"/>
      <c r="F16" s="227"/>
      <c r="G16" s="227"/>
      <c r="H16" s="227"/>
      <c r="I16" s="227"/>
      <c r="J16" s="227"/>
      <c r="K16" s="227"/>
      <c r="L16" s="228"/>
      <c r="M16" s="227"/>
      <c r="N16" s="227"/>
      <c r="O16" s="227"/>
      <c r="P16" s="227"/>
      <c r="Q16" s="227"/>
      <c r="R16" s="227"/>
      <c r="S16" s="227"/>
      <c r="T16" s="227"/>
      <c r="U16" s="227"/>
      <c r="V16" s="227"/>
      <c r="W16" s="227"/>
      <c r="X16" s="227"/>
      <c r="Y16" s="227"/>
      <c r="Z16" s="227"/>
      <c r="AA16" s="227"/>
      <c r="AB16" s="45"/>
      <c r="AC16" s="32"/>
      <c r="AD16" s="32"/>
      <c r="AE16" s="32"/>
      <c r="AF16" s="46"/>
      <c r="AG16" s="228"/>
      <c r="AH16" s="153"/>
      <c r="AI16" s="229"/>
      <c r="AJ16" s="206" t="s">
        <v>89</v>
      </c>
      <c r="AK16" s="206"/>
      <c r="AL16" s="206"/>
      <c r="AM16" s="206"/>
      <c r="AN16" s="206" t="s">
        <v>90</v>
      </c>
      <c r="AO16" s="206"/>
      <c r="AP16" s="206"/>
      <c r="AQ16" s="207"/>
      <c r="AR16" s="45"/>
      <c r="AS16" s="32"/>
      <c r="AT16" s="46"/>
    </row>
    <row r="17" spans="1:46" ht="17" customHeight="1">
      <c r="B17" s="45"/>
      <c r="C17" s="233"/>
      <c r="D17" s="234"/>
      <c r="E17" s="235"/>
      <c r="F17" s="227"/>
      <c r="G17" s="227"/>
      <c r="H17" s="227"/>
      <c r="I17" s="227"/>
      <c r="J17" s="227"/>
      <c r="K17" s="227"/>
      <c r="L17" s="228"/>
      <c r="M17" s="227"/>
      <c r="N17" s="227"/>
      <c r="O17" s="227"/>
      <c r="P17" s="227"/>
      <c r="Q17" s="227"/>
      <c r="R17" s="227"/>
      <c r="S17" s="227"/>
      <c r="T17" s="227"/>
      <c r="U17" s="227"/>
      <c r="V17" s="227"/>
      <c r="W17" s="227"/>
      <c r="X17" s="227"/>
      <c r="Y17" s="227"/>
      <c r="Z17" s="227"/>
      <c r="AA17" s="227"/>
      <c r="AB17" s="45"/>
      <c r="AC17" s="32"/>
      <c r="AD17" s="32"/>
      <c r="AE17" s="32"/>
      <c r="AF17" s="46"/>
      <c r="AG17" s="228"/>
      <c r="AH17" s="153"/>
      <c r="AI17" s="229"/>
      <c r="AJ17" s="206" t="s">
        <v>91</v>
      </c>
      <c r="AK17" s="206"/>
      <c r="AL17" s="206"/>
      <c r="AM17" s="206"/>
      <c r="AN17" s="206" t="s">
        <v>92</v>
      </c>
      <c r="AO17" s="206"/>
      <c r="AP17" s="206"/>
      <c r="AQ17" s="207"/>
      <c r="AR17" s="45"/>
      <c r="AS17" s="32"/>
      <c r="AT17" s="46"/>
    </row>
    <row r="18" spans="1:46" ht="17" customHeight="1">
      <c r="B18" s="47"/>
      <c r="C18" s="236"/>
      <c r="D18" s="237"/>
      <c r="E18" s="238"/>
      <c r="F18" s="240"/>
      <c r="G18" s="240"/>
      <c r="H18" s="240"/>
      <c r="I18" s="240"/>
      <c r="J18" s="240"/>
      <c r="K18" s="240"/>
      <c r="L18" s="241"/>
      <c r="M18" s="240"/>
      <c r="N18" s="240"/>
      <c r="O18" s="240"/>
      <c r="P18" s="240"/>
      <c r="Q18" s="240"/>
      <c r="R18" s="240"/>
      <c r="S18" s="240"/>
      <c r="T18" s="240"/>
      <c r="U18" s="240"/>
      <c r="V18" s="240"/>
      <c r="W18" s="240"/>
      <c r="X18" s="240"/>
      <c r="Y18" s="240"/>
      <c r="Z18" s="240"/>
      <c r="AA18" s="240"/>
      <c r="AB18" s="47"/>
      <c r="AC18" s="48"/>
      <c r="AD18" s="48"/>
      <c r="AE18" s="48"/>
      <c r="AF18" s="49"/>
      <c r="AG18" s="241"/>
      <c r="AH18" s="242"/>
      <c r="AI18" s="243"/>
      <c r="AJ18" s="206" t="s">
        <v>93</v>
      </c>
      <c r="AK18" s="206"/>
      <c r="AL18" s="206"/>
      <c r="AM18" s="206"/>
      <c r="AN18" s="206" t="s">
        <v>94</v>
      </c>
      <c r="AO18" s="206"/>
      <c r="AP18" s="206"/>
      <c r="AQ18" s="207"/>
      <c r="AR18" s="47"/>
      <c r="AS18" s="48"/>
      <c r="AT18" s="49"/>
    </row>
    <row r="21" spans="1:46" ht="17" customHeight="1">
      <c r="B21" t="s">
        <v>106</v>
      </c>
    </row>
    <row r="22" spans="1:46" ht="17" customHeight="1">
      <c r="A22" s="32"/>
      <c r="B22" t="s">
        <v>57</v>
      </c>
      <c r="G22" t="s">
        <v>121</v>
      </c>
    </row>
    <row r="23" spans="1:46" ht="17" customHeight="1">
      <c r="B23" s="192" t="s">
        <v>56</v>
      </c>
      <c r="C23" s="195" t="s">
        <v>108</v>
      </c>
      <c r="D23" s="196"/>
      <c r="E23" s="196"/>
      <c r="F23" s="196"/>
      <c r="G23" s="196"/>
      <c r="H23" s="196"/>
      <c r="I23" s="196"/>
      <c r="J23" s="196"/>
      <c r="K23" s="196"/>
      <c r="L23" s="196"/>
      <c r="M23" s="196"/>
      <c r="N23" s="196"/>
      <c r="O23" s="196"/>
      <c r="P23" s="197"/>
      <c r="Q23" s="195" t="s">
        <v>109</v>
      </c>
      <c r="R23" s="196"/>
      <c r="S23" s="196"/>
      <c r="T23" s="196"/>
      <c r="U23" s="196"/>
      <c r="V23" s="196"/>
      <c r="W23" s="196"/>
      <c r="X23" s="196"/>
      <c r="Y23" s="196"/>
      <c r="Z23" s="196"/>
      <c r="AA23" s="196"/>
      <c r="AB23" s="196"/>
      <c r="AC23" s="196"/>
      <c r="AD23" s="197"/>
      <c r="AE23" s="244" t="s">
        <v>111</v>
      </c>
      <c r="AF23" s="245"/>
      <c r="AG23" s="245"/>
      <c r="AH23" s="245"/>
      <c r="AI23" s="245"/>
      <c r="AJ23" s="245"/>
      <c r="AK23" s="246"/>
    </row>
    <row r="24" spans="1:46" ht="17" customHeight="1">
      <c r="B24" s="193"/>
      <c r="C24" s="201" t="s">
        <v>59</v>
      </c>
      <c r="D24" s="202"/>
      <c r="E24" s="202"/>
      <c r="F24" s="202"/>
      <c r="G24" s="202"/>
      <c r="H24" s="202"/>
      <c r="I24" s="202"/>
      <c r="J24" s="202"/>
      <c r="K24" s="202"/>
      <c r="L24" s="202"/>
      <c r="M24" s="202"/>
      <c r="N24" s="202"/>
      <c r="O24" s="202"/>
      <c r="P24" s="203"/>
      <c r="Q24" s="253" t="s">
        <v>142</v>
      </c>
      <c r="R24" s="254"/>
      <c r="S24" s="254"/>
      <c r="T24" s="254"/>
      <c r="U24" s="254"/>
      <c r="V24" s="254"/>
      <c r="W24" s="254"/>
      <c r="X24" s="254"/>
      <c r="Y24" s="254"/>
      <c r="Z24" s="254"/>
      <c r="AA24" s="254"/>
      <c r="AB24" s="254"/>
      <c r="AC24" s="254"/>
      <c r="AD24" s="255"/>
      <c r="AE24" s="247"/>
      <c r="AF24" s="248"/>
      <c r="AG24" s="248"/>
      <c r="AH24" s="248"/>
      <c r="AI24" s="248"/>
      <c r="AJ24" s="248"/>
      <c r="AK24" s="249"/>
    </row>
    <row r="25" spans="1:46" ht="17" customHeight="1">
      <c r="B25" s="193"/>
      <c r="C25" s="205" t="s">
        <v>60</v>
      </c>
      <c r="D25" s="205"/>
      <c r="E25" s="205"/>
      <c r="F25" s="205"/>
      <c r="G25" s="205"/>
      <c r="H25" s="218" t="s">
        <v>71</v>
      </c>
      <c r="I25" s="219"/>
      <c r="J25" s="219"/>
      <c r="K25" s="219"/>
      <c r="L25" s="219"/>
      <c r="M25" s="219"/>
      <c r="N25" s="219"/>
      <c r="O25" s="219"/>
      <c r="P25" s="220"/>
      <c r="Q25" s="256" t="s">
        <v>60</v>
      </c>
      <c r="R25" s="256"/>
      <c r="S25" s="256"/>
      <c r="T25" s="256"/>
      <c r="U25" s="256"/>
      <c r="V25" s="257" t="s">
        <v>71</v>
      </c>
      <c r="W25" s="258"/>
      <c r="X25" s="258"/>
      <c r="Y25" s="258"/>
      <c r="Z25" s="258"/>
      <c r="AA25" s="258"/>
      <c r="AB25" s="258"/>
      <c r="AC25" s="258"/>
      <c r="AD25" s="259"/>
      <c r="AE25" s="247"/>
      <c r="AF25" s="248"/>
      <c r="AG25" s="248"/>
      <c r="AH25" s="248"/>
      <c r="AI25" s="248"/>
      <c r="AJ25" s="248"/>
      <c r="AK25" s="249"/>
    </row>
    <row r="26" spans="1:46" ht="17" customHeight="1">
      <c r="B26" s="194"/>
      <c r="C26" s="205"/>
      <c r="D26" s="205"/>
      <c r="E26" s="205"/>
      <c r="F26" s="205"/>
      <c r="G26" s="205"/>
      <c r="H26" s="88"/>
      <c r="I26" s="222" t="s">
        <v>72</v>
      </c>
      <c r="J26" s="222"/>
      <c r="K26" s="222"/>
      <c r="L26" s="222"/>
      <c r="M26" s="222" t="s">
        <v>73</v>
      </c>
      <c r="N26" s="222"/>
      <c r="O26" s="222"/>
      <c r="P26" s="222"/>
      <c r="Q26" s="256"/>
      <c r="R26" s="256"/>
      <c r="S26" s="256"/>
      <c r="T26" s="256"/>
      <c r="U26" s="256"/>
      <c r="V26" s="54"/>
      <c r="W26" s="262" t="s">
        <v>72</v>
      </c>
      <c r="X26" s="262"/>
      <c r="Y26" s="262"/>
      <c r="Z26" s="262"/>
      <c r="AA26" s="262" t="s">
        <v>73</v>
      </c>
      <c r="AB26" s="262"/>
      <c r="AC26" s="262"/>
      <c r="AD26" s="262"/>
      <c r="AE26" s="250"/>
      <c r="AF26" s="251"/>
      <c r="AG26" s="251"/>
      <c r="AH26" s="251"/>
      <c r="AI26" s="251"/>
      <c r="AJ26" s="251"/>
      <c r="AK26" s="252"/>
    </row>
    <row r="27" spans="1:46" ht="17" customHeight="1">
      <c r="B27" s="56">
        <v>1</v>
      </c>
      <c r="C27" s="206" t="s">
        <v>74</v>
      </c>
      <c r="D27" s="206"/>
      <c r="E27" s="206"/>
      <c r="F27" s="206"/>
      <c r="G27" s="206"/>
      <c r="H27" s="85">
        <v>1</v>
      </c>
      <c r="I27" s="206" t="s">
        <v>76</v>
      </c>
      <c r="J27" s="206"/>
      <c r="K27" s="206"/>
      <c r="L27" s="206"/>
      <c r="M27" s="206" t="s">
        <v>76</v>
      </c>
      <c r="N27" s="206"/>
      <c r="O27" s="206"/>
      <c r="P27" s="206"/>
      <c r="Q27" s="260" t="s">
        <v>98</v>
      </c>
      <c r="R27" s="260"/>
      <c r="S27" s="260"/>
      <c r="T27" s="260"/>
      <c r="U27" s="260"/>
      <c r="V27" s="87">
        <v>1</v>
      </c>
      <c r="W27" s="260" t="s">
        <v>100</v>
      </c>
      <c r="X27" s="260"/>
      <c r="Y27" s="260"/>
      <c r="Z27" s="260"/>
      <c r="AA27" s="260" t="s">
        <v>121</v>
      </c>
      <c r="AB27" s="260"/>
      <c r="AC27" s="260"/>
      <c r="AD27" s="260"/>
      <c r="AE27" s="207" t="s">
        <v>110</v>
      </c>
      <c r="AF27" s="208"/>
      <c r="AG27" s="208"/>
      <c r="AH27" s="208"/>
      <c r="AI27" s="208"/>
      <c r="AJ27" s="208"/>
      <c r="AK27" s="209"/>
    </row>
    <row r="28" spans="1:46" ht="17" customHeight="1">
      <c r="B28" s="56">
        <f>B27+1</f>
        <v>2</v>
      </c>
      <c r="C28" s="206" t="s">
        <v>115</v>
      </c>
      <c r="D28" s="206"/>
      <c r="E28" s="206"/>
      <c r="F28" s="206"/>
      <c r="G28" s="206"/>
      <c r="H28" s="85">
        <v>1</v>
      </c>
      <c r="I28" s="206" t="s">
        <v>100</v>
      </c>
      <c r="J28" s="206"/>
      <c r="K28" s="206"/>
      <c r="L28" s="206"/>
      <c r="M28" s="207" t="s">
        <v>121</v>
      </c>
      <c r="N28" s="208"/>
      <c r="O28" s="208"/>
      <c r="P28" s="209"/>
      <c r="Q28" s="260" t="s">
        <v>116</v>
      </c>
      <c r="R28" s="260"/>
      <c r="S28" s="260"/>
      <c r="T28" s="260"/>
      <c r="U28" s="260"/>
      <c r="V28" s="87">
        <v>1</v>
      </c>
      <c r="W28" s="261" t="s">
        <v>100</v>
      </c>
      <c r="X28" s="261"/>
      <c r="Y28" s="261"/>
      <c r="Z28" s="261"/>
      <c r="AA28" s="261" t="s">
        <v>703</v>
      </c>
      <c r="AB28" s="261"/>
      <c r="AC28" s="261"/>
      <c r="AD28" s="261"/>
      <c r="AE28" s="207" t="s">
        <v>110</v>
      </c>
      <c r="AF28" s="208"/>
      <c r="AG28" s="208"/>
      <c r="AH28" s="208"/>
      <c r="AI28" s="208"/>
      <c r="AJ28" s="208"/>
      <c r="AK28" s="209"/>
    </row>
    <row r="29" spans="1:46" ht="17" customHeight="1">
      <c r="B29" s="56">
        <f>B28+1</f>
        <v>3</v>
      </c>
      <c r="C29" s="206" t="s">
        <v>98</v>
      </c>
      <c r="D29" s="206"/>
      <c r="E29" s="206"/>
      <c r="F29" s="206"/>
      <c r="G29" s="206"/>
      <c r="H29" s="85">
        <v>1</v>
      </c>
      <c r="I29" s="206" t="s">
        <v>100</v>
      </c>
      <c r="J29" s="206"/>
      <c r="K29" s="206"/>
      <c r="L29" s="206"/>
      <c r="M29" s="207" t="s">
        <v>121</v>
      </c>
      <c r="N29" s="208"/>
      <c r="O29" s="208"/>
      <c r="P29" s="209"/>
      <c r="Q29" s="206" t="s">
        <v>98</v>
      </c>
      <c r="R29" s="206"/>
      <c r="S29" s="206"/>
      <c r="T29" s="206"/>
      <c r="U29" s="206"/>
      <c r="V29" s="87">
        <v>1</v>
      </c>
      <c r="W29" s="260" t="s">
        <v>76</v>
      </c>
      <c r="X29" s="260"/>
      <c r="Y29" s="260"/>
      <c r="Z29" s="260"/>
      <c r="AA29" s="206" t="s">
        <v>121</v>
      </c>
      <c r="AB29" s="206"/>
      <c r="AC29" s="206"/>
      <c r="AD29" s="206"/>
      <c r="AE29" s="207" t="s">
        <v>110</v>
      </c>
      <c r="AF29" s="208"/>
      <c r="AG29" s="208"/>
      <c r="AH29" s="208"/>
      <c r="AI29" s="208"/>
      <c r="AJ29" s="208"/>
      <c r="AK29" s="209"/>
    </row>
    <row r="30" spans="1:46" ht="17" customHeight="1">
      <c r="B30" s="89">
        <f>B29+1</f>
        <v>4</v>
      </c>
      <c r="C30" s="239" t="s">
        <v>98</v>
      </c>
      <c r="D30" s="239"/>
      <c r="E30" s="239"/>
      <c r="F30" s="239"/>
      <c r="G30" s="239"/>
      <c r="H30" s="85">
        <v>1</v>
      </c>
      <c r="I30" s="206" t="s">
        <v>114</v>
      </c>
      <c r="J30" s="206"/>
      <c r="K30" s="206"/>
      <c r="L30" s="206"/>
      <c r="M30" s="207" t="s">
        <v>121</v>
      </c>
      <c r="N30" s="208"/>
      <c r="O30" s="208"/>
      <c r="P30" s="209"/>
      <c r="Q30" s="239" t="s">
        <v>98</v>
      </c>
      <c r="R30" s="239"/>
      <c r="S30" s="239"/>
      <c r="T30" s="239"/>
      <c r="U30" s="239"/>
      <c r="V30" s="87">
        <v>1</v>
      </c>
      <c r="W30" s="263" t="s">
        <v>113</v>
      </c>
      <c r="X30" s="264"/>
      <c r="Y30" s="264"/>
      <c r="Z30" s="264"/>
      <c r="AA30" s="264"/>
      <c r="AB30" s="264"/>
      <c r="AC30" s="264"/>
      <c r="AD30" s="265"/>
      <c r="AE30" s="224" t="s">
        <v>110</v>
      </c>
      <c r="AF30" s="225"/>
      <c r="AG30" s="225"/>
      <c r="AH30" s="225"/>
      <c r="AI30" s="225"/>
      <c r="AJ30" s="225"/>
      <c r="AK30" s="226"/>
    </row>
    <row r="31" spans="1:46" ht="17" customHeight="1">
      <c r="B31" s="90"/>
      <c r="C31" s="240"/>
      <c r="D31" s="240"/>
      <c r="E31" s="240"/>
      <c r="F31" s="240"/>
      <c r="G31" s="240"/>
      <c r="H31" s="85">
        <v>2</v>
      </c>
      <c r="I31" s="206" t="s">
        <v>114</v>
      </c>
      <c r="J31" s="206"/>
      <c r="K31" s="206"/>
      <c r="L31" s="206"/>
      <c r="M31" s="207" t="s">
        <v>122</v>
      </c>
      <c r="N31" s="208"/>
      <c r="O31" s="208"/>
      <c r="P31" s="209"/>
      <c r="Q31" s="240"/>
      <c r="R31" s="240"/>
      <c r="S31" s="240"/>
      <c r="T31" s="240"/>
      <c r="U31" s="240"/>
      <c r="V31" s="87">
        <v>2</v>
      </c>
      <c r="W31" s="206" t="s">
        <v>76</v>
      </c>
      <c r="X31" s="206"/>
      <c r="Y31" s="206"/>
      <c r="Z31" s="206"/>
      <c r="AA31" s="206" t="s">
        <v>123</v>
      </c>
      <c r="AB31" s="206"/>
      <c r="AC31" s="206"/>
      <c r="AD31" s="206"/>
      <c r="AE31" s="241"/>
      <c r="AF31" s="242"/>
      <c r="AG31" s="242"/>
      <c r="AH31" s="242"/>
      <c r="AI31" s="242"/>
      <c r="AJ31" s="242"/>
      <c r="AK31" s="243"/>
    </row>
    <row r="32" spans="1:46" ht="17" customHeight="1">
      <c r="B32" s="56">
        <f>B30+1</f>
        <v>5</v>
      </c>
      <c r="C32" s="206" t="s">
        <v>98</v>
      </c>
      <c r="D32" s="206"/>
      <c r="E32" s="206"/>
      <c r="F32" s="206"/>
      <c r="G32" s="206"/>
      <c r="H32" s="85">
        <v>1</v>
      </c>
      <c r="I32" s="206" t="s">
        <v>114</v>
      </c>
      <c r="J32" s="206"/>
      <c r="K32" s="206"/>
      <c r="L32" s="206"/>
      <c r="M32" s="207" t="s">
        <v>121</v>
      </c>
      <c r="N32" s="208"/>
      <c r="O32" s="208"/>
      <c r="P32" s="209"/>
      <c r="Q32" s="206" t="s">
        <v>98</v>
      </c>
      <c r="R32" s="206"/>
      <c r="S32" s="206"/>
      <c r="T32" s="206"/>
      <c r="U32" s="206"/>
      <c r="V32" s="87">
        <v>1</v>
      </c>
      <c r="W32" s="206" t="s">
        <v>114</v>
      </c>
      <c r="X32" s="206"/>
      <c r="Y32" s="206"/>
      <c r="Z32" s="206"/>
      <c r="AA32" s="260" t="s">
        <v>1009</v>
      </c>
      <c r="AB32" s="260"/>
      <c r="AC32" s="260"/>
      <c r="AD32" s="260"/>
      <c r="AE32" s="207" t="s">
        <v>110</v>
      </c>
      <c r="AF32" s="208"/>
      <c r="AG32" s="208"/>
      <c r="AH32" s="208"/>
      <c r="AI32" s="208"/>
      <c r="AJ32" s="208"/>
      <c r="AK32" s="209"/>
      <c r="AL32" t="s">
        <v>1007</v>
      </c>
    </row>
    <row r="33" spans="2:38" ht="17" customHeight="1">
      <c r="B33" s="56">
        <f>B32+1</f>
        <v>6</v>
      </c>
      <c r="C33" s="206" t="s">
        <v>98</v>
      </c>
      <c r="D33" s="206"/>
      <c r="E33" s="206"/>
      <c r="F33" s="206"/>
      <c r="G33" s="206"/>
      <c r="H33" s="85">
        <v>1</v>
      </c>
      <c r="I33" s="206" t="s">
        <v>114</v>
      </c>
      <c r="J33" s="206"/>
      <c r="K33" s="206"/>
      <c r="L33" s="206"/>
      <c r="M33" s="207" t="s">
        <v>121</v>
      </c>
      <c r="N33" s="208"/>
      <c r="O33" s="208"/>
      <c r="P33" s="209"/>
      <c r="Q33" s="206" t="s">
        <v>98</v>
      </c>
      <c r="R33" s="206"/>
      <c r="S33" s="206"/>
      <c r="T33" s="206"/>
      <c r="U33" s="206"/>
      <c r="V33" s="87">
        <v>1</v>
      </c>
      <c r="W33" s="206" t="s">
        <v>114</v>
      </c>
      <c r="X33" s="206"/>
      <c r="Y33" s="206"/>
      <c r="Z33" s="206"/>
      <c r="AA33" s="260" t="s">
        <v>993</v>
      </c>
      <c r="AB33" s="260"/>
      <c r="AC33" s="260"/>
      <c r="AD33" s="260"/>
      <c r="AE33" s="207" t="s">
        <v>110</v>
      </c>
      <c r="AF33" s="208"/>
      <c r="AG33" s="208"/>
      <c r="AH33" s="208"/>
      <c r="AI33" s="208"/>
      <c r="AJ33" s="208"/>
      <c r="AK33" s="209"/>
      <c r="AL33" t="s">
        <v>1012</v>
      </c>
    </row>
    <row r="34" spans="2:38" ht="17" customHeight="1">
      <c r="B34" s="56">
        <f t="shared" ref="B34:B57" si="0">B33+1</f>
        <v>7</v>
      </c>
      <c r="C34" s="206" t="s">
        <v>98</v>
      </c>
      <c r="D34" s="206"/>
      <c r="E34" s="206"/>
      <c r="F34" s="206"/>
      <c r="G34" s="206"/>
      <c r="H34" s="85">
        <v>1</v>
      </c>
      <c r="I34" s="206" t="s">
        <v>114</v>
      </c>
      <c r="J34" s="206"/>
      <c r="K34" s="206"/>
      <c r="L34" s="206"/>
      <c r="M34" s="207" t="s">
        <v>121</v>
      </c>
      <c r="N34" s="208"/>
      <c r="O34" s="208"/>
      <c r="P34" s="209"/>
      <c r="Q34" s="206" t="s">
        <v>98</v>
      </c>
      <c r="R34" s="206"/>
      <c r="S34" s="206"/>
      <c r="T34" s="206"/>
      <c r="U34" s="206"/>
      <c r="V34" s="87">
        <v>1</v>
      </c>
      <c r="W34" s="206" t="s">
        <v>114</v>
      </c>
      <c r="X34" s="206"/>
      <c r="Y34" s="206"/>
      <c r="Z34" s="206"/>
      <c r="AA34" s="260" t="s">
        <v>1014</v>
      </c>
      <c r="AB34" s="260"/>
      <c r="AC34" s="260"/>
      <c r="AD34" s="260"/>
      <c r="AE34" s="207" t="s">
        <v>110</v>
      </c>
      <c r="AF34" s="208"/>
      <c r="AG34" s="208"/>
      <c r="AH34" s="208"/>
      <c r="AI34" s="208"/>
      <c r="AJ34" s="208"/>
      <c r="AK34" s="209"/>
      <c r="AL34" t="s">
        <v>1011</v>
      </c>
    </row>
    <row r="35" spans="2:38" ht="17" customHeight="1">
      <c r="B35" s="56">
        <f t="shared" si="0"/>
        <v>8</v>
      </c>
      <c r="C35" s="206" t="s">
        <v>98</v>
      </c>
      <c r="D35" s="206"/>
      <c r="E35" s="206"/>
      <c r="F35" s="206"/>
      <c r="G35" s="206"/>
      <c r="H35" s="85">
        <v>1</v>
      </c>
      <c r="I35" s="206" t="s">
        <v>114</v>
      </c>
      <c r="J35" s="206"/>
      <c r="K35" s="206"/>
      <c r="L35" s="206"/>
      <c r="M35" s="207" t="s">
        <v>121</v>
      </c>
      <c r="N35" s="208"/>
      <c r="O35" s="208"/>
      <c r="P35" s="209"/>
      <c r="Q35" s="206" t="s">
        <v>98</v>
      </c>
      <c r="R35" s="206"/>
      <c r="S35" s="206"/>
      <c r="T35" s="206"/>
      <c r="U35" s="206"/>
      <c r="V35" s="87">
        <v>1</v>
      </c>
      <c r="W35" s="206" t="s">
        <v>114</v>
      </c>
      <c r="X35" s="206"/>
      <c r="Y35" s="206"/>
      <c r="Z35" s="206"/>
      <c r="AA35" s="260" t="s">
        <v>1015</v>
      </c>
      <c r="AB35" s="260"/>
      <c r="AC35" s="260"/>
      <c r="AD35" s="260"/>
      <c r="AE35" s="207" t="s">
        <v>110</v>
      </c>
      <c r="AF35" s="208"/>
      <c r="AG35" s="208"/>
      <c r="AH35" s="208"/>
      <c r="AI35" s="208"/>
      <c r="AJ35" s="208"/>
      <c r="AK35" s="209"/>
    </row>
    <row r="36" spans="2:38" ht="17" customHeight="1">
      <c r="B36" s="56">
        <f t="shared" si="0"/>
        <v>9</v>
      </c>
      <c r="C36" s="206" t="s">
        <v>98</v>
      </c>
      <c r="D36" s="206"/>
      <c r="E36" s="206"/>
      <c r="F36" s="206"/>
      <c r="G36" s="206"/>
      <c r="H36" s="85">
        <v>1</v>
      </c>
      <c r="I36" s="206" t="s">
        <v>114</v>
      </c>
      <c r="J36" s="206"/>
      <c r="K36" s="206"/>
      <c r="L36" s="206"/>
      <c r="M36" s="207" t="s">
        <v>121</v>
      </c>
      <c r="N36" s="208"/>
      <c r="O36" s="208"/>
      <c r="P36" s="209"/>
      <c r="Q36" s="206" t="s">
        <v>98</v>
      </c>
      <c r="R36" s="206"/>
      <c r="S36" s="206"/>
      <c r="T36" s="206"/>
      <c r="U36" s="206"/>
      <c r="V36" s="87">
        <v>1</v>
      </c>
      <c r="W36" s="206" t="s">
        <v>114</v>
      </c>
      <c r="X36" s="206"/>
      <c r="Y36" s="206"/>
      <c r="Z36" s="206"/>
      <c r="AA36" s="260" t="s">
        <v>141</v>
      </c>
      <c r="AB36" s="260"/>
      <c r="AC36" s="260"/>
      <c r="AD36" s="260"/>
      <c r="AE36" s="207" t="s">
        <v>110</v>
      </c>
      <c r="AF36" s="208"/>
      <c r="AG36" s="208"/>
      <c r="AH36" s="208"/>
      <c r="AI36" s="208"/>
      <c r="AJ36" s="208"/>
      <c r="AK36" s="209"/>
    </row>
    <row r="37" spans="2:38" ht="17" customHeight="1">
      <c r="B37" s="56">
        <f t="shared" si="0"/>
        <v>10</v>
      </c>
      <c r="C37" s="206" t="s">
        <v>98</v>
      </c>
      <c r="D37" s="206"/>
      <c r="E37" s="206"/>
      <c r="F37" s="206"/>
      <c r="G37" s="206"/>
      <c r="H37" s="85">
        <v>1</v>
      </c>
      <c r="I37" s="206" t="s">
        <v>114</v>
      </c>
      <c r="J37" s="206"/>
      <c r="K37" s="206"/>
      <c r="L37" s="206"/>
      <c r="M37" s="207" t="s">
        <v>121</v>
      </c>
      <c r="N37" s="208"/>
      <c r="O37" s="208"/>
      <c r="P37" s="209"/>
      <c r="Q37" s="206" t="s">
        <v>98</v>
      </c>
      <c r="R37" s="206"/>
      <c r="S37" s="206"/>
      <c r="T37" s="206"/>
      <c r="U37" s="206"/>
      <c r="V37" s="87">
        <v>1</v>
      </c>
      <c r="W37" s="206" t="s">
        <v>114</v>
      </c>
      <c r="X37" s="206"/>
      <c r="Y37" s="206"/>
      <c r="Z37" s="206"/>
      <c r="AA37" s="260" t="s">
        <v>124</v>
      </c>
      <c r="AB37" s="260"/>
      <c r="AC37" s="260"/>
      <c r="AD37" s="260"/>
      <c r="AE37" s="207" t="s">
        <v>110</v>
      </c>
      <c r="AF37" s="208"/>
      <c r="AG37" s="208"/>
      <c r="AH37" s="208"/>
      <c r="AI37" s="208"/>
      <c r="AJ37" s="208"/>
      <c r="AK37" s="209"/>
    </row>
    <row r="38" spans="2:38" ht="17" customHeight="1">
      <c r="B38" s="56">
        <f t="shared" si="0"/>
        <v>11</v>
      </c>
      <c r="C38" s="206" t="s">
        <v>98</v>
      </c>
      <c r="D38" s="206"/>
      <c r="E38" s="206"/>
      <c r="F38" s="206"/>
      <c r="G38" s="206"/>
      <c r="H38" s="85">
        <v>1</v>
      </c>
      <c r="I38" s="206" t="s">
        <v>114</v>
      </c>
      <c r="J38" s="206"/>
      <c r="K38" s="206"/>
      <c r="L38" s="206"/>
      <c r="M38" s="207" t="s">
        <v>121</v>
      </c>
      <c r="N38" s="208"/>
      <c r="O38" s="208"/>
      <c r="P38" s="209"/>
      <c r="Q38" s="206" t="s">
        <v>98</v>
      </c>
      <c r="R38" s="206"/>
      <c r="S38" s="206"/>
      <c r="T38" s="206"/>
      <c r="U38" s="206"/>
      <c r="V38" s="87">
        <v>1</v>
      </c>
      <c r="W38" s="206" t="s">
        <v>114</v>
      </c>
      <c r="X38" s="206"/>
      <c r="Y38" s="206"/>
      <c r="Z38" s="206"/>
      <c r="AA38" s="260" t="s">
        <v>125</v>
      </c>
      <c r="AB38" s="260"/>
      <c r="AC38" s="260"/>
      <c r="AD38" s="260"/>
      <c r="AE38" s="207" t="s">
        <v>110</v>
      </c>
      <c r="AF38" s="208"/>
      <c r="AG38" s="208"/>
      <c r="AH38" s="208"/>
      <c r="AI38" s="208"/>
      <c r="AJ38" s="208"/>
      <c r="AK38" s="209"/>
    </row>
    <row r="39" spans="2:38" ht="31" customHeight="1">
      <c r="B39" s="56">
        <f t="shared" si="0"/>
        <v>12</v>
      </c>
      <c r="C39" s="206" t="s">
        <v>74</v>
      </c>
      <c r="D39" s="206"/>
      <c r="E39" s="206"/>
      <c r="F39" s="206"/>
      <c r="G39" s="206"/>
      <c r="H39" s="85">
        <v>1</v>
      </c>
      <c r="I39" s="206" t="s">
        <v>76</v>
      </c>
      <c r="J39" s="206"/>
      <c r="K39" s="206"/>
      <c r="L39" s="206"/>
      <c r="M39" s="206" t="s">
        <v>76</v>
      </c>
      <c r="N39" s="206"/>
      <c r="O39" s="206"/>
      <c r="P39" s="206"/>
      <c r="Q39" s="268" t="s">
        <v>98</v>
      </c>
      <c r="R39" s="269"/>
      <c r="S39" s="269"/>
      <c r="T39" s="269"/>
      <c r="U39" s="269"/>
      <c r="V39" s="87">
        <v>1</v>
      </c>
      <c r="W39" s="270" t="s">
        <v>76</v>
      </c>
      <c r="X39" s="270"/>
      <c r="Y39" s="270"/>
      <c r="Z39" s="270"/>
      <c r="AA39" s="270" t="s">
        <v>76</v>
      </c>
      <c r="AB39" s="270"/>
      <c r="AC39" s="270"/>
      <c r="AD39" s="270"/>
      <c r="AE39" s="266" t="s">
        <v>164</v>
      </c>
      <c r="AF39" s="208"/>
      <c r="AG39" s="208"/>
      <c r="AH39" s="208"/>
      <c r="AI39" s="208"/>
      <c r="AJ39" s="208"/>
      <c r="AK39" s="209"/>
    </row>
    <row r="40" spans="2:38" ht="31" customHeight="1">
      <c r="B40" s="56">
        <f t="shared" si="0"/>
        <v>13</v>
      </c>
      <c r="C40" s="206" t="s">
        <v>98</v>
      </c>
      <c r="D40" s="206"/>
      <c r="E40" s="206"/>
      <c r="F40" s="206"/>
      <c r="G40" s="206"/>
      <c r="H40" s="85">
        <v>1</v>
      </c>
      <c r="I40" s="206" t="s">
        <v>114</v>
      </c>
      <c r="J40" s="206"/>
      <c r="K40" s="206"/>
      <c r="L40" s="206"/>
      <c r="M40" s="206" t="s">
        <v>114</v>
      </c>
      <c r="N40" s="206"/>
      <c r="O40" s="206"/>
      <c r="P40" s="206"/>
      <c r="Q40" s="206" t="s">
        <v>98</v>
      </c>
      <c r="R40" s="206"/>
      <c r="S40" s="206"/>
      <c r="T40" s="206"/>
      <c r="U40" s="206"/>
      <c r="V40" s="87">
        <v>1</v>
      </c>
      <c r="W40" s="206" t="s">
        <v>114</v>
      </c>
      <c r="X40" s="206"/>
      <c r="Y40" s="206"/>
      <c r="Z40" s="206"/>
      <c r="AA40" s="267" t="s">
        <v>1016</v>
      </c>
      <c r="AB40" s="268"/>
      <c r="AC40" s="268"/>
      <c r="AD40" s="268"/>
      <c r="AE40" s="266" t="s">
        <v>119</v>
      </c>
      <c r="AF40" s="208"/>
      <c r="AG40" s="208"/>
      <c r="AH40" s="208"/>
      <c r="AI40" s="208"/>
      <c r="AJ40" s="208"/>
      <c r="AK40" s="209"/>
    </row>
    <row r="41" spans="2:38" ht="31" customHeight="1">
      <c r="B41" s="56">
        <f t="shared" si="0"/>
        <v>14</v>
      </c>
      <c r="C41" s="206" t="s">
        <v>98</v>
      </c>
      <c r="D41" s="206"/>
      <c r="E41" s="206"/>
      <c r="F41" s="206"/>
      <c r="G41" s="206"/>
      <c r="H41" s="85">
        <v>1</v>
      </c>
      <c r="I41" s="206" t="s">
        <v>114</v>
      </c>
      <c r="J41" s="206"/>
      <c r="K41" s="206"/>
      <c r="L41" s="206"/>
      <c r="M41" s="206" t="s">
        <v>114</v>
      </c>
      <c r="N41" s="206"/>
      <c r="O41" s="206"/>
      <c r="P41" s="206"/>
      <c r="Q41" s="206" t="s">
        <v>98</v>
      </c>
      <c r="R41" s="206"/>
      <c r="S41" s="206"/>
      <c r="T41" s="206"/>
      <c r="U41" s="206"/>
      <c r="V41" s="87">
        <v>1</v>
      </c>
      <c r="W41" s="206" t="s">
        <v>114</v>
      </c>
      <c r="X41" s="206"/>
      <c r="Y41" s="206"/>
      <c r="Z41" s="206"/>
      <c r="AA41" s="267" t="s">
        <v>126</v>
      </c>
      <c r="AB41" s="268"/>
      <c r="AC41" s="268"/>
      <c r="AD41" s="268"/>
      <c r="AE41" s="266" t="s">
        <v>119</v>
      </c>
      <c r="AF41" s="208"/>
      <c r="AG41" s="208"/>
      <c r="AH41" s="208"/>
      <c r="AI41" s="208"/>
      <c r="AJ41" s="208"/>
      <c r="AK41" s="209"/>
    </row>
    <row r="42" spans="2:38" ht="31" customHeight="1">
      <c r="B42" s="56">
        <f t="shared" si="0"/>
        <v>15</v>
      </c>
      <c r="C42" s="206" t="s">
        <v>98</v>
      </c>
      <c r="D42" s="206"/>
      <c r="E42" s="206"/>
      <c r="F42" s="206"/>
      <c r="G42" s="206"/>
      <c r="H42" s="85">
        <v>1</v>
      </c>
      <c r="I42" s="206" t="s">
        <v>114</v>
      </c>
      <c r="J42" s="206"/>
      <c r="K42" s="206"/>
      <c r="L42" s="206"/>
      <c r="M42" s="206" t="s">
        <v>114</v>
      </c>
      <c r="N42" s="206"/>
      <c r="O42" s="206"/>
      <c r="P42" s="206"/>
      <c r="Q42" s="206" t="s">
        <v>98</v>
      </c>
      <c r="R42" s="206"/>
      <c r="S42" s="206"/>
      <c r="T42" s="206"/>
      <c r="U42" s="206"/>
      <c r="V42" s="87">
        <v>1</v>
      </c>
      <c r="W42" s="206" t="s">
        <v>114</v>
      </c>
      <c r="X42" s="206"/>
      <c r="Y42" s="206"/>
      <c r="Z42" s="206"/>
      <c r="AA42" s="267" t="s">
        <v>127</v>
      </c>
      <c r="AB42" s="268"/>
      <c r="AC42" s="268"/>
      <c r="AD42" s="268"/>
      <c r="AE42" s="266" t="s">
        <v>119</v>
      </c>
      <c r="AF42" s="208"/>
      <c r="AG42" s="208"/>
      <c r="AH42" s="208"/>
      <c r="AI42" s="208"/>
      <c r="AJ42" s="208"/>
      <c r="AK42" s="209"/>
    </row>
    <row r="43" spans="2:38" ht="31" customHeight="1">
      <c r="B43" s="56">
        <f t="shared" si="0"/>
        <v>16</v>
      </c>
      <c r="C43" s="206" t="s">
        <v>98</v>
      </c>
      <c r="D43" s="206"/>
      <c r="E43" s="206"/>
      <c r="F43" s="206"/>
      <c r="G43" s="206"/>
      <c r="H43" s="85">
        <v>1</v>
      </c>
      <c r="I43" s="206" t="s">
        <v>114</v>
      </c>
      <c r="J43" s="206"/>
      <c r="K43" s="206"/>
      <c r="L43" s="206"/>
      <c r="M43" s="206" t="s">
        <v>114</v>
      </c>
      <c r="N43" s="206"/>
      <c r="O43" s="206"/>
      <c r="P43" s="206"/>
      <c r="Q43" s="206" t="s">
        <v>98</v>
      </c>
      <c r="R43" s="206"/>
      <c r="S43" s="206"/>
      <c r="T43" s="206"/>
      <c r="U43" s="206"/>
      <c r="V43" s="87">
        <v>1</v>
      </c>
      <c r="W43" s="206" t="s">
        <v>114</v>
      </c>
      <c r="X43" s="206"/>
      <c r="Y43" s="206"/>
      <c r="Z43" s="206"/>
      <c r="AA43" s="271" t="s">
        <v>133</v>
      </c>
      <c r="AB43" s="269"/>
      <c r="AC43" s="269"/>
      <c r="AD43" s="269"/>
      <c r="AE43" s="266" t="s">
        <v>119</v>
      </c>
      <c r="AF43" s="208"/>
      <c r="AG43" s="208"/>
      <c r="AH43" s="208"/>
      <c r="AI43" s="208"/>
      <c r="AJ43" s="208"/>
      <c r="AK43" s="209"/>
    </row>
    <row r="44" spans="2:38" ht="31" customHeight="1">
      <c r="B44" s="56">
        <f t="shared" si="0"/>
        <v>17</v>
      </c>
      <c r="C44" s="206" t="s">
        <v>98</v>
      </c>
      <c r="D44" s="206"/>
      <c r="E44" s="206"/>
      <c r="F44" s="206"/>
      <c r="G44" s="206"/>
      <c r="H44" s="85">
        <v>1</v>
      </c>
      <c r="I44" s="206" t="s">
        <v>114</v>
      </c>
      <c r="J44" s="206"/>
      <c r="K44" s="206"/>
      <c r="L44" s="206"/>
      <c r="M44" s="206" t="s">
        <v>114</v>
      </c>
      <c r="N44" s="206"/>
      <c r="O44" s="206"/>
      <c r="P44" s="206"/>
      <c r="Q44" s="206" t="s">
        <v>98</v>
      </c>
      <c r="R44" s="206"/>
      <c r="S44" s="206"/>
      <c r="T44" s="206"/>
      <c r="U44" s="206"/>
      <c r="V44" s="87">
        <v>1</v>
      </c>
      <c r="W44" s="206" t="s">
        <v>114</v>
      </c>
      <c r="X44" s="206"/>
      <c r="Y44" s="206"/>
      <c r="Z44" s="206"/>
      <c r="AA44" s="271" t="s">
        <v>134</v>
      </c>
      <c r="AB44" s="269"/>
      <c r="AC44" s="269"/>
      <c r="AD44" s="269"/>
      <c r="AE44" s="266" t="s">
        <v>119</v>
      </c>
      <c r="AF44" s="208"/>
      <c r="AG44" s="208"/>
      <c r="AH44" s="208"/>
      <c r="AI44" s="208"/>
      <c r="AJ44" s="208"/>
      <c r="AK44" s="209"/>
    </row>
    <row r="45" spans="2:38" ht="31" customHeight="1">
      <c r="B45" s="56">
        <f t="shared" si="0"/>
        <v>18</v>
      </c>
      <c r="C45" s="206" t="s">
        <v>98</v>
      </c>
      <c r="D45" s="206"/>
      <c r="E45" s="206"/>
      <c r="F45" s="206"/>
      <c r="G45" s="206"/>
      <c r="H45" s="85">
        <v>1</v>
      </c>
      <c r="I45" s="206" t="s">
        <v>114</v>
      </c>
      <c r="J45" s="206"/>
      <c r="K45" s="206"/>
      <c r="L45" s="206"/>
      <c r="M45" s="206" t="s">
        <v>114</v>
      </c>
      <c r="N45" s="206"/>
      <c r="O45" s="206"/>
      <c r="P45" s="206"/>
      <c r="Q45" s="206" t="s">
        <v>98</v>
      </c>
      <c r="R45" s="206"/>
      <c r="S45" s="206"/>
      <c r="T45" s="206"/>
      <c r="U45" s="206"/>
      <c r="V45" s="87">
        <v>1</v>
      </c>
      <c r="W45" s="206" t="s">
        <v>114</v>
      </c>
      <c r="X45" s="206"/>
      <c r="Y45" s="206"/>
      <c r="Z45" s="206"/>
      <c r="AA45" s="271" t="s">
        <v>135</v>
      </c>
      <c r="AB45" s="269"/>
      <c r="AC45" s="269"/>
      <c r="AD45" s="269"/>
      <c r="AE45" s="266" t="s">
        <v>119</v>
      </c>
      <c r="AF45" s="208"/>
      <c r="AG45" s="208"/>
      <c r="AH45" s="208"/>
      <c r="AI45" s="208"/>
      <c r="AJ45" s="208"/>
      <c r="AK45" s="209"/>
    </row>
    <row r="46" spans="2:38" ht="31" customHeight="1">
      <c r="B46" s="56">
        <f t="shared" si="0"/>
        <v>19</v>
      </c>
      <c r="C46" s="206" t="s">
        <v>98</v>
      </c>
      <c r="D46" s="206"/>
      <c r="E46" s="206"/>
      <c r="F46" s="206"/>
      <c r="G46" s="206"/>
      <c r="H46" s="85">
        <v>1</v>
      </c>
      <c r="I46" s="206" t="s">
        <v>114</v>
      </c>
      <c r="J46" s="206"/>
      <c r="K46" s="206"/>
      <c r="L46" s="206"/>
      <c r="M46" s="206" t="s">
        <v>114</v>
      </c>
      <c r="N46" s="206"/>
      <c r="O46" s="206"/>
      <c r="P46" s="206"/>
      <c r="Q46" s="206" t="s">
        <v>98</v>
      </c>
      <c r="R46" s="206"/>
      <c r="S46" s="206"/>
      <c r="T46" s="206"/>
      <c r="U46" s="206"/>
      <c r="V46" s="87">
        <v>1</v>
      </c>
      <c r="W46" s="206" t="s">
        <v>114</v>
      </c>
      <c r="X46" s="206"/>
      <c r="Y46" s="206"/>
      <c r="Z46" s="206"/>
      <c r="AA46" s="271" t="s">
        <v>136</v>
      </c>
      <c r="AB46" s="269"/>
      <c r="AC46" s="269"/>
      <c r="AD46" s="269"/>
      <c r="AE46" s="266" t="s">
        <v>119</v>
      </c>
      <c r="AF46" s="208"/>
      <c r="AG46" s="208"/>
      <c r="AH46" s="208"/>
      <c r="AI46" s="208"/>
      <c r="AJ46" s="208"/>
      <c r="AK46" s="209"/>
    </row>
    <row r="47" spans="2:38" ht="31" customHeight="1">
      <c r="B47" s="56">
        <f t="shared" si="0"/>
        <v>20</v>
      </c>
      <c r="C47" s="206" t="s">
        <v>98</v>
      </c>
      <c r="D47" s="206"/>
      <c r="E47" s="206"/>
      <c r="F47" s="206"/>
      <c r="G47" s="206"/>
      <c r="H47" s="85">
        <v>1</v>
      </c>
      <c r="I47" s="206" t="s">
        <v>114</v>
      </c>
      <c r="J47" s="206"/>
      <c r="K47" s="206"/>
      <c r="L47" s="206"/>
      <c r="M47" s="207" t="s">
        <v>122</v>
      </c>
      <c r="N47" s="208"/>
      <c r="O47" s="208"/>
      <c r="P47" s="209"/>
      <c r="Q47" s="206" t="s">
        <v>98</v>
      </c>
      <c r="R47" s="206"/>
      <c r="S47" s="206"/>
      <c r="T47" s="206"/>
      <c r="U47" s="206"/>
      <c r="V47" s="87">
        <v>1</v>
      </c>
      <c r="W47" s="206" t="s">
        <v>114</v>
      </c>
      <c r="X47" s="206"/>
      <c r="Y47" s="206"/>
      <c r="Z47" s="206"/>
      <c r="AA47" s="267" t="s">
        <v>138</v>
      </c>
      <c r="AB47" s="268"/>
      <c r="AC47" s="268"/>
      <c r="AD47" s="268"/>
      <c r="AE47" s="266" t="s">
        <v>119</v>
      </c>
      <c r="AF47" s="208"/>
      <c r="AG47" s="208"/>
      <c r="AH47" s="208"/>
      <c r="AI47" s="208"/>
      <c r="AJ47" s="208"/>
      <c r="AK47" s="209"/>
    </row>
    <row r="48" spans="2:38" ht="31" customHeight="1">
      <c r="B48" s="56">
        <f t="shared" si="0"/>
        <v>21</v>
      </c>
      <c r="C48" s="206" t="s">
        <v>98</v>
      </c>
      <c r="D48" s="206"/>
      <c r="E48" s="206"/>
      <c r="F48" s="206"/>
      <c r="G48" s="206"/>
      <c r="H48" s="85">
        <v>1</v>
      </c>
      <c r="I48" s="206" t="s">
        <v>114</v>
      </c>
      <c r="J48" s="206"/>
      <c r="K48" s="206"/>
      <c r="L48" s="206"/>
      <c r="M48" s="206" t="s">
        <v>114</v>
      </c>
      <c r="N48" s="206"/>
      <c r="O48" s="206"/>
      <c r="P48" s="206"/>
      <c r="Q48" s="206" t="s">
        <v>98</v>
      </c>
      <c r="R48" s="206"/>
      <c r="S48" s="206"/>
      <c r="T48" s="206"/>
      <c r="U48" s="206"/>
      <c r="V48" s="87">
        <v>1</v>
      </c>
      <c r="W48" s="206" t="s">
        <v>114</v>
      </c>
      <c r="X48" s="206"/>
      <c r="Y48" s="206"/>
      <c r="Z48" s="206"/>
      <c r="AA48" s="267" t="s">
        <v>128</v>
      </c>
      <c r="AB48" s="268"/>
      <c r="AC48" s="268"/>
      <c r="AD48" s="268"/>
      <c r="AE48" s="266" t="s">
        <v>119</v>
      </c>
      <c r="AF48" s="208"/>
      <c r="AG48" s="208"/>
      <c r="AH48" s="208"/>
      <c r="AI48" s="208"/>
      <c r="AJ48" s="208"/>
      <c r="AK48" s="209"/>
    </row>
    <row r="49" spans="2:38" ht="31" customHeight="1">
      <c r="B49" s="56">
        <f t="shared" si="0"/>
        <v>22</v>
      </c>
      <c r="C49" s="206" t="s">
        <v>98</v>
      </c>
      <c r="D49" s="206"/>
      <c r="E49" s="206"/>
      <c r="F49" s="206"/>
      <c r="G49" s="206"/>
      <c r="H49" s="85">
        <v>1</v>
      </c>
      <c r="I49" s="206" t="s">
        <v>114</v>
      </c>
      <c r="J49" s="206"/>
      <c r="K49" s="206"/>
      <c r="L49" s="206"/>
      <c r="M49" s="206" t="s">
        <v>114</v>
      </c>
      <c r="N49" s="206"/>
      <c r="O49" s="206"/>
      <c r="P49" s="206"/>
      <c r="Q49" s="206" t="s">
        <v>98</v>
      </c>
      <c r="R49" s="206"/>
      <c r="S49" s="206"/>
      <c r="T49" s="206"/>
      <c r="U49" s="206"/>
      <c r="V49" s="87">
        <v>1</v>
      </c>
      <c r="W49" s="206" t="s">
        <v>114</v>
      </c>
      <c r="X49" s="206"/>
      <c r="Y49" s="206"/>
      <c r="Z49" s="206"/>
      <c r="AA49" s="267" t="s">
        <v>120</v>
      </c>
      <c r="AB49" s="268"/>
      <c r="AC49" s="268"/>
      <c r="AD49" s="268"/>
      <c r="AE49" s="266" t="s">
        <v>119</v>
      </c>
      <c r="AF49" s="208"/>
      <c r="AG49" s="208"/>
      <c r="AH49" s="208"/>
      <c r="AI49" s="208"/>
      <c r="AJ49" s="208"/>
      <c r="AK49" s="209"/>
    </row>
    <row r="50" spans="2:38" ht="31" customHeight="1">
      <c r="B50" s="56">
        <f t="shared" si="0"/>
        <v>23</v>
      </c>
      <c r="C50" s="206" t="s">
        <v>98</v>
      </c>
      <c r="D50" s="206"/>
      <c r="E50" s="206"/>
      <c r="F50" s="206"/>
      <c r="G50" s="206"/>
      <c r="H50" s="85">
        <v>1</v>
      </c>
      <c r="I50" s="206" t="s">
        <v>114</v>
      </c>
      <c r="J50" s="206"/>
      <c r="K50" s="206"/>
      <c r="L50" s="206"/>
      <c r="M50" s="206" t="s">
        <v>114</v>
      </c>
      <c r="N50" s="206"/>
      <c r="O50" s="206"/>
      <c r="P50" s="206"/>
      <c r="Q50" s="206" t="s">
        <v>98</v>
      </c>
      <c r="R50" s="206"/>
      <c r="S50" s="206"/>
      <c r="T50" s="206"/>
      <c r="U50" s="206"/>
      <c r="V50" s="87">
        <v>1</v>
      </c>
      <c r="W50" s="206" t="s">
        <v>114</v>
      </c>
      <c r="X50" s="206"/>
      <c r="Y50" s="206"/>
      <c r="Z50" s="206"/>
      <c r="AA50" s="267" t="s">
        <v>713</v>
      </c>
      <c r="AB50" s="268"/>
      <c r="AC50" s="268"/>
      <c r="AD50" s="268"/>
      <c r="AE50" s="266" t="s">
        <v>119</v>
      </c>
      <c r="AF50" s="208"/>
      <c r="AG50" s="208"/>
      <c r="AH50" s="208"/>
      <c r="AI50" s="208"/>
      <c r="AJ50" s="208"/>
      <c r="AK50" s="209"/>
    </row>
    <row r="51" spans="2:38" ht="31" customHeight="1">
      <c r="B51" s="56">
        <f t="shared" si="0"/>
        <v>24</v>
      </c>
      <c r="C51" s="206" t="s">
        <v>98</v>
      </c>
      <c r="D51" s="206"/>
      <c r="E51" s="206"/>
      <c r="F51" s="206"/>
      <c r="G51" s="206"/>
      <c r="H51" s="85">
        <v>1</v>
      </c>
      <c r="I51" s="206" t="s">
        <v>114</v>
      </c>
      <c r="J51" s="206"/>
      <c r="K51" s="206"/>
      <c r="L51" s="206"/>
      <c r="M51" s="206" t="s">
        <v>114</v>
      </c>
      <c r="N51" s="206"/>
      <c r="O51" s="206"/>
      <c r="P51" s="206"/>
      <c r="Q51" s="206" t="s">
        <v>98</v>
      </c>
      <c r="R51" s="206"/>
      <c r="S51" s="206"/>
      <c r="T51" s="206"/>
      <c r="U51" s="206"/>
      <c r="V51" s="87">
        <v>1</v>
      </c>
      <c r="W51" s="206" t="s">
        <v>114</v>
      </c>
      <c r="X51" s="206"/>
      <c r="Y51" s="206"/>
      <c r="Z51" s="206"/>
      <c r="AA51" s="267" t="s">
        <v>129</v>
      </c>
      <c r="AB51" s="268"/>
      <c r="AC51" s="268"/>
      <c r="AD51" s="268"/>
      <c r="AE51" s="266" t="s">
        <v>119</v>
      </c>
      <c r="AF51" s="208"/>
      <c r="AG51" s="208"/>
      <c r="AH51" s="208"/>
      <c r="AI51" s="208"/>
      <c r="AJ51" s="208"/>
      <c r="AK51" s="209"/>
    </row>
    <row r="52" spans="2:38" ht="31" customHeight="1">
      <c r="B52" s="56">
        <f t="shared" si="0"/>
        <v>25</v>
      </c>
      <c r="C52" s="206" t="s">
        <v>98</v>
      </c>
      <c r="D52" s="206"/>
      <c r="E52" s="206"/>
      <c r="F52" s="206"/>
      <c r="G52" s="206"/>
      <c r="H52" s="85">
        <v>1</v>
      </c>
      <c r="I52" s="206" t="s">
        <v>114</v>
      </c>
      <c r="J52" s="206"/>
      <c r="K52" s="206"/>
      <c r="L52" s="206"/>
      <c r="M52" s="206" t="s">
        <v>114</v>
      </c>
      <c r="N52" s="206"/>
      <c r="O52" s="206"/>
      <c r="P52" s="206"/>
      <c r="Q52" s="206" t="s">
        <v>98</v>
      </c>
      <c r="R52" s="206"/>
      <c r="S52" s="206"/>
      <c r="T52" s="206"/>
      <c r="U52" s="206"/>
      <c r="V52" s="87">
        <v>1</v>
      </c>
      <c r="W52" s="206" t="s">
        <v>114</v>
      </c>
      <c r="X52" s="206"/>
      <c r="Y52" s="206"/>
      <c r="Z52" s="206"/>
      <c r="AA52" s="267" t="s">
        <v>130</v>
      </c>
      <c r="AB52" s="268"/>
      <c r="AC52" s="268"/>
      <c r="AD52" s="268"/>
      <c r="AE52" s="266" t="s">
        <v>119</v>
      </c>
      <c r="AF52" s="208"/>
      <c r="AG52" s="208"/>
      <c r="AH52" s="208"/>
      <c r="AI52" s="208"/>
      <c r="AJ52" s="208"/>
      <c r="AK52" s="209"/>
    </row>
    <row r="53" spans="2:38" ht="31" customHeight="1">
      <c r="B53" s="56">
        <f t="shared" si="0"/>
        <v>26</v>
      </c>
      <c r="C53" s="206" t="s">
        <v>98</v>
      </c>
      <c r="D53" s="206"/>
      <c r="E53" s="206"/>
      <c r="F53" s="206"/>
      <c r="G53" s="206"/>
      <c r="H53" s="85">
        <v>1</v>
      </c>
      <c r="I53" s="206" t="s">
        <v>114</v>
      </c>
      <c r="J53" s="206"/>
      <c r="K53" s="206"/>
      <c r="L53" s="206"/>
      <c r="M53" s="206" t="s">
        <v>114</v>
      </c>
      <c r="N53" s="206"/>
      <c r="O53" s="206"/>
      <c r="P53" s="206"/>
      <c r="Q53" s="206" t="s">
        <v>98</v>
      </c>
      <c r="R53" s="206"/>
      <c r="S53" s="206"/>
      <c r="T53" s="206"/>
      <c r="U53" s="206"/>
      <c r="V53" s="87">
        <v>1</v>
      </c>
      <c r="W53" s="206" t="s">
        <v>114</v>
      </c>
      <c r="X53" s="206"/>
      <c r="Y53" s="206"/>
      <c r="Z53" s="206"/>
      <c r="AA53" s="267" t="s">
        <v>131</v>
      </c>
      <c r="AB53" s="268"/>
      <c r="AC53" s="268"/>
      <c r="AD53" s="268"/>
      <c r="AE53" s="266" t="s">
        <v>119</v>
      </c>
      <c r="AF53" s="208"/>
      <c r="AG53" s="208"/>
      <c r="AH53" s="208"/>
      <c r="AI53" s="208"/>
      <c r="AJ53" s="208"/>
      <c r="AK53" s="209"/>
    </row>
    <row r="54" spans="2:38" ht="31" customHeight="1">
      <c r="B54" s="56">
        <f t="shared" si="0"/>
        <v>27</v>
      </c>
      <c r="C54" s="206" t="s">
        <v>98</v>
      </c>
      <c r="D54" s="206"/>
      <c r="E54" s="206"/>
      <c r="F54" s="206"/>
      <c r="G54" s="206"/>
      <c r="H54" s="85">
        <v>1</v>
      </c>
      <c r="I54" s="206" t="s">
        <v>114</v>
      </c>
      <c r="J54" s="206"/>
      <c r="K54" s="206"/>
      <c r="L54" s="206"/>
      <c r="M54" s="206" t="s">
        <v>114</v>
      </c>
      <c r="N54" s="206"/>
      <c r="O54" s="206"/>
      <c r="P54" s="206"/>
      <c r="Q54" s="206" t="s">
        <v>98</v>
      </c>
      <c r="R54" s="206"/>
      <c r="S54" s="206"/>
      <c r="T54" s="206"/>
      <c r="U54" s="206"/>
      <c r="V54" s="87">
        <v>1</v>
      </c>
      <c r="W54" s="206" t="s">
        <v>114</v>
      </c>
      <c r="X54" s="206"/>
      <c r="Y54" s="206"/>
      <c r="Z54" s="206"/>
      <c r="AA54" s="267" t="s">
        <v>137</v>
      </c>
      <c r="AB54" s="268"/>
      <c r="AC54" s="268"/>
      <c r="AD54" s="268"/>
      <c r="AE54" s="266" t="s">
        <v>119</v>
      </c>
      <c r="AF54" s="208"/>
      <c r="AG54" s="208"/>
      <c r="AH54" s="208"/>
      <c r="AI54" s="208"/>
      <c r="AJ54" s="208"/>
      <c r="AK54" s="209"/>
    </row>
    <row r="55" spans="2:38" ht="31" customHeight="1">
      <c r="B55" s="56">
        <f t="shared" si="0"/>
        <v>28</v>
      </c>
      <c r="C55" s="206" t="s">
        <v>98</v>
      </c>
      <c r="D55" s="206"/>
      <c r="E55" s="206"/>
      <c r="F55" s="206"/>
      <c r="G55" s="206"/>
      <c r="H55" s="85">
        <v>1</v>
      </c>
      <c r="I55" s="206" t="s">
        <v>114</v>
      </c>
      <c r="J55" s="206"/>
      <c r="K55" s="206"/>
      <c r="L55" s="206"/>
      <c r="M55" s="206" t="s">
        <v>114</v>
      </c>
      <c r="N55" s="206"/>
      <c r="O55" s="206"/>
      <c r="P55" s="206"/>
      <c r="Q55" s="206" t="s">
        <v>98</v>
      </c>
      <c r="R55" s="206"/>
      <c r="S55" s="206"/>
      <c r="T55" s="206"/>
      <c r="U55" s="206"/>
      <c r="V55" s="87">
        <v>1</v>
      </c>
      <c r="W55" s="206" t="s">
        <v>114</v>
      </c>
      <c r="X55" s="206"/>
      <c r="Y55" s="206"/>
      <c r="Z55" s="206"/>
      <c r="AA55" s="267" t="s">
        <v>712</v>
      </c>
      <c r="AB55" s="268"/>
      <c r="AC55" s="268"/>
      <c r="AD55" s="268"/>
      <c r="AE55" s="266" t="s">
        <v>119</v>
      </c>
      <c r="AF55" s="208"/>
      <c r="AG55" s="208"/>
      <c r="AH55" s="208"/>
      <c r="AI55" s="208"/>
      <c r="AJ55" s="208"/>
      <c r="AK55" s="209"/>
      <c r="AL55" t="s">
        <v>1010</v>
      </c>
    </row>
    <row r="56" spans="2:38" ht="31" customHeight="1">
      <c r="B56" s="56">
        <f t="shared" si="0"/>
        <v>29</v>
      </c>
      <c r="C56" s="206" t="s">
        <v>98</v>
      </c>
      <c r="D56" s="206"/>
      <c r="E56" s="206"/>
      <c r="F56" s="206"/>
      <c r="G56" s="206"/>
      <c r="H56" s="85">
        <v>1</v>
      </c>
      <c r="I56" s="206" t="s">
        <v>114</v>
      </c>
      <c r="J56" s="206"/>
      <c r="K56" s="206"/>
      <c r="L56" s="206"/>
      <c r="M56" s="206" t="s">
        <v>114</v>
      </c>
      <c r="N56" s="206"/>
      <c r="O56" s="206"/>
      <c r="P56" s="206"/>
      <c r="Q56" s="206" t="s">
        <v>98</v>
      </c>
      <c r="R56" s="206"/>
      <c r="S56" s="206"/>
      <c r="T56" s="206"/>
      <c r="U56" s="206"/>
      <c r="V56" s="87">
        <v>1</v>
      </c>
      <c r="W56" s="206" t="s">
        <v>114</v>
      </c>
      <c r="X56" s="206"/>
      <c r="Y56" s="206"/>
      <c r="Z56" s="206"/>
      <c r="AA56" s="267" t="s">
        <v>1008</v>
      </c>
      <c r="AB56" s="268"/>
      <c r="AC56" s="268"/>
      <c r="AD56" s="268"/>
      <c r="AE56" s="266" t="s">
        <v>119</v>
      </c>
      <c r="AF56" s="208"/>
      <c r="AG56" s="208"/>
      <c r="AH56" s="208"/>
      <c r="AI56" s="208"/>
      <c r="AJ56" s="208"/>
      <c r="AK56" s="209"/>
    </row>
    <row r="57" spans="2:38" ht="17" customHeight="1">
      <c r="B57" s="89">
        <f t="shared" si="0"/>
        <v>30</v>
      </c>
      <c r="C57" s="239" t="s">
        <v>98</v>
      </c>
      <c r="D57" s="239"/>
      <c r="E57" s="239"/>
      <c r="F57" s="239"/>
      <c r="G57" s="239"/>
      <c r="H57" s="85">
        <v>1</v>
      </c>
      <c r="I57" s="206" t="s">
        <v>114</v>
      </c>
      <c r="J57" s="206"/>
      <c r="K57" s="206"/>
      <c r="L57" s="206"/>
      <c r="M57" s="206" t="s">
        <v>114</v>
      </c>
      <c r="N57" s="206"/>
      <c r="O57" s="206"/>
      <c r="P57" s="206"/>
      <c r="Q57" s="239" t="s">
        <v>98</v>
      </c>
      <c r="R57" s="239"/>
      <c r="S57" s="239"/>
      <c r="T57" s="239"/>
      <c r="U57" s="239"/>
      <c r="V57" s="87">
        <v>1</v>
      </c>
      <c r="W57" s="206" t="s">
        <v>114</v>
      </c>
      <c r="X57" s="206"/>
      <c r="Y57" s="206"/>
      <c r="Z57" s="206"/>
      <c r="AA57" s="206" t="s">
        <v>81</v>
      </c>
      <c r="AB57" s="206"/>
      <c r="AC57" s="206"/>
      <c r="AD57" s="206"/>
      <c r="AE57" s="272" t="s">
        <v>118</v>
      </c>
      <c r="AF57" s="273"/>
      <c r="AG57" s="273"/>
      <c r="AH57" s="273"/>
      <c r="AI57" s="273"/>
      <c r="AJ57" s="273"/>
      <c r="AK57" s="274"/>
      <c r="AL57" t="s">
        <v>132</v>
      </c>
    </row>
    <row r="58" spans="2:38" ht="17" customHeight="1">
      <c r="B58" s="91"/>
      <c r="C58" s="227"/>
      <c r="D58" s="227"/>
      <c r="E58" s="227"/>
      <c r="F58" s="227"/>
      <c r="G58" s="227"/>
      <c r="H58" s="85">
        <v>2</v>
      </c>
      <c r="I58" s="206" t="s">
        <v>114</v>
      </c>
      <c r="J58" s="206"/>
      <c r="K58" s="206"/>
      <c r="L58" s="206"/>
      <c r="M58" s="206" t="s">
        <v>114</v>
      </c>
      <c r="N58" s="206"/>
      <c r="O58" s="206"/>
      <c r="P58" s="206"/>
      <c r="Q58" s="227"/>
      <c r="R58" s="227"/>
      <c r="S58" s="227"/>
      <c r="T58" s="227"/>
      <c r="U58" s="227"/>
      <c r="V58" s="87">
        <v>2</v>
      </c>
      <c r="W58" s="268" t="s">
        <v>117</v>
      </c>
      <c r="X58" s="268"/>
      <c r="Y58" s="268"/>
      <c r="Z58" s="268"/>
      <c r="AA58" s="268" t="s">
        <v>76</v>
      </c>
      <c r="AB58" s="268"/>
      <c r="AC58" s="268"/>
      <c r="AD58" s="268"/>
      <c r="AE58" s="275"/>
      <c r="AF58" s="276"/>
      <c r="AG58" s="276"/>
      <c r="AH58" s="276"/>
      <c r="AI58" s="276"/>
      <c r="AJ58" s="276"/>
      <c r="AK58" s="277"/>
    </row>
    <row r="59" spans="2:38" ht="17" customHeight="1">
      <c r="B59" s="90"/>
      <c r="C59" s="240"/>
      <c r="D59" s="240"/>
      <c r="E59" s="240"/>
      <c r="F59" s="240"/>
      <c r="G59" s="240"/>
      <c r="H59" s="85">
        <v>3</v>
      </c>
      <c r="I59" s="206" t="s">
        <v>114</v>
      </c>
      <c r="J59" s="206"/>
      <c r="K59" s="206"/>
      <c r="L59" s="206"/>
      <c r="M59" s="206" t="s">
        <v>114</v>
      </c>
      <c r="N59" s="206"/>
      <c r="O59" s="206"/>
      <c r="P59" s="206"/>
      <c r="Q59" s="240"/>
      <c r="R59" s="240"/>
      <c r="S59" s="240"/>
      <c r="T59" s="240"/>
      <c r="U59" s="240"/>
      <c r="V59" s="87">
        <v>3</v>
      </c>
      <c r="W59" s="206" t="s">
        <v>114</v>
      </c>
      <c r="X59" s="206"/>
      <c r="Y59" s="206"/>
      <c r="Z59" s="206"/>
      <c r="AA59" s="206" t="s">
        <v>122</v>
      </c>
      <c r="AB59" s="206"/>
      <c r="AC59" s="206"/>
      <c r="AD59" s="206"/>
      <c r="AE59" s="278"/>
      <c r="AF59" s="279"/>
      <c r="AG59" s="279"/>
      <c r="AH59" s="279"/>
      <c r="AI59" s="279"/>
      <c r="AJ59" s="279"/>
      <c r="AK59" s="280"/>
    </row>
    <row r="60" spans="2:38" ht="17" customHeight="1">
      <c r="B60" s="89">
        <f>B57+1</f>
        <v>31</v>
      </c>
      <c r="C60" s="239" t="s">
        <v>98</v>
      </c>
      <c r="D60" s="239"/>
      <c r="E60" s="239"/>
      <c r="F60" s="239"/>
      <c r="G60" s="239"/>
      <c r="H60" s="87">
        <v>1</v>
      </c>
      <c r="I60" s="206" t="s">
        <v>114</v>
      </c>
      <c r="J60" s="206"/>
      <c r="K60" s="206"/>
      <c r="L60" s="206"/>
      <c r="M60" s="206" t="s">
        <v>114</v>
      </c>
      <c r="N60" s="206"/>
      <c r="O60" s="206"/>
      <c r="P60" s="206"/>
      <c r="Q60" s="239" t="s">
        <v>98</v>
      </c>
      <c r="R60" s="239"/>
      <c r="S60" s="239"/>
      <c r="T60" s="239"/>
      <c r="U60" s="239"/>
      <c r="V60" s="87">
        <v>1</v>
      </c>
      <c r="W60" s="206" t="s">
        <v>114</v>
      </c>
      <c r="X60" s="206"/>
      <c r="Y60" s="206"/>
      <c r="Z60" s="206"/>
      <c r="AA60" s="206" t="s">
        <v>1024</v>
      </c>
      <c r="AB60" s="206"/>
      <c r="AC60" s="206"/>
      <c r="AD60" s="206"/>
      <c r="AE60" s="281" t="s">
        <v>163</v>
      </c>
      <c r="AF60" s="281"/>
      <c r="AG60" s="281"/>
      <c r="AH60" s="281"/>
      <c r="AI60" s="281"/>
      <c r="AJ60" s="281"/>
      <c r="AK60" s="281"/>
    </row>
    <row r="61" spans="2:38" ht="17" customHeight="1">
      <c r="B61" s="91"/>
      <c r="C61" s="227"/>
      <c r="D61" s="227"/>
      <c r="E61" s="227"/>
      <c r="F61" s="227"/>
      <c r="G61" s="227"/>
      <c r="H61" s="87">
        <f>H60+1</f>
        <v>2</v>
      </c>
      <c r="I61" s="206" t="s">
        <v>114</v>
      </c>
      <c r="J61" s="206"/>
      <c r="K61" s="206"/>
      <c r="L61" s="206"/>
      <c r="M61" s="206" t="s">
        <v>114</v>
      </c>
      <c r="N61" s="206"/>
      <c r="O61" s="206"/>
      <c r="P61" s="206"/>
      <c r="Q61" s="227"/>
      <c r="R61" s="227"/>
      <c r="S61" s="227"/>
      <c r="T61" s="227"/>
      <c r="U61" s="227"/>
      <c r="V61" s="87">
        <f>V60+1</f>
        <v>2</v>
      </c>
      <c r="W61" s="206" t="s">
        <v>114</v>
      </c>
      <c r="X61" s="206"/>
      <c r="Y61" s="206"/>
      <c r="Z61" s="206"/>
      <c r="AA61" s="206" t="s">
        <v>1025</v>
      </c>
      <c r="AB61" s="206"/>
      <c r="AC61" s="206"/>
      <c r="AD61" s="206"/>
      <c r="AE61" s="281"/>
      <c r="AF61" s="281"/>
      <c r="AG61" s="281"/>
      <c r="AH61" s="281"/>
      <c r="AI61" s="281"/>
      <c r="AJ61" s="281"/>
      <c r="AK61" s="281"/>
    </row>
    <row r="62" spans="2:38" ht="17" customHeight="1">
      <c r="B62" s="91"/>
      <c r="C62" s="227"/>
      <c r="D62" s="227"/>
      <c r="E62" s="227"/>
      <c r="F62" s="227"/>
      <c r="G62" s="227"/>
      <c r="H62" s="87">
        <f t="shared" ref="H62:H79" si="1">H61+1</f>
        <v>3</v>
      </c>
      <c r="I62" s="206" t="s">
        <v>114</v>
      </c>
      <c r="J62" s="206"/>
      <c r="K62" s="206"/>
      <c r="L62" s="206"/>
      <c r="M62" s="206" t="s">
        <v>114</v>
      </c>
      <c r="N62" s="206"/>
      <c r="O62" s="206"/>
      <c r="P62" s="206"/>
      <c r="Q62" s="227"/>
      <c r="R62" s="227"/>
      <c r="S62" s="227"/>
      <c r="T62" s="227"/>
      <c r="U62" s="227"/>
      <c r="V62" s="87">
        <f t="shared" ref="V62:V79" si="2">V61+1</f>
        <v>3</v>
      </c>
      <c r="W62" s="206" t="s">
        <v>114</v>
      </c>
      <c r="X62" s="206"/>
      <c r="Y62" s="206"/>
      <c r="Z62" s="206"/>
      <c r="AA62" s="206" t="s">
        <v>1026</v>
      </c>
      <c r="AB62" s="206"/>
      <c r="AC62" s="206"/>
      <c r="AD62" s="206"/>
      <c r="AE62" s="281"/>
      <c r="AF62" s="281"/>
      <c r="AG62" s="281"/>
      <c r="AH62" s="281"/>
      <c r="AI62" s="281"/>
      <c r="AJ62" s="281"/>
      <c r="AK62" s="281"/>
    </row>
    <row r="63" spans="2:38" ht="17" customHeight="1">
      <c r="B63" s="91"/>
      <c r="C63" s="227"/>
      <c r="D63" s="227"/>
      <c r="E63" s="227"/>
      <c r="F63" s="227"/>
      <c r="G63" s="227"/>
      <c r="H63" s="87">
        <f t="shared" si="1"/>
        <v>4</v>
      </c>
      <c r="I63" s="206" t="s">
        <v>114</v>
      </c>
      <c r="J63" s="206"/>
      <c r="K63" s="206"/>
      <c r="L63" s="206"/>
      <c r="M63" s="206" t="s">
        <v>114</v>
      </c>
      <c r="N63" s="206"/>
      <c r="O63" s="206"/>
      <c r="P63" s="206"/>
      <c r="Q63" s="227"/>
      <c r="R63" s="227"/>
      <c r="S63" s="227"/>
      <c r="T63" s="227"/>
      <c r="U63" s="227"/>
      <c r="V63" s="87">
        <f t="shared" si="2"/>
        <v>4</v>
      </c>
      <c r="W63" s="206" t="s">
        <v>114</v>
      </c>
      <c r="X63" s="206"/>
      <c r="Y63" s="206"/>
      <c r="Z63" s="206"/>
      <c r="AA63" s="206" t="s">
        <v>1027</v>
      </c>
      <c r="AB63" s="206"/>
      <c r="AC63" s="206"/>
      <c r="AD63" s="206"/>
      <c r="AE63" s="281"/>
      <c r="AF63" s="281"/>
      <c r="AG63" s="281"/>
      <c r="AH63" s="281"/>
      <c r="AI63" s="281"/>
      <c r="AJ63" s="281"/>
      <c r="AK63" s="281"/>
    </row>
    <row r="64" spans="2:38" ht="17" customHeight="1">
      <c r="B64" s="91"/>
      <c r="C64" s="227"/>
      <c r="D64" s="227"/>
      <c r="E64" s="227"/>
      <c r="F64" s="227"/>
      <c r="G64" s="227"/>
      <c r="H64" s="87">
        <f t="shared" si="1"/>
        <v>5</v>
      </c>
      <c r="I64" s="206" t="s">
        <v>114</v>
      </c>
      <c r="J64" s="206"/>
      <c r="K64" s="206"/>
      <c r="L64" s="206"/>
      <c r="M64" s="206" t="s">
        <v>114</v>
      </c>
      <c r="N64" s="206"/>
      <c r="O64" s="206"/>
      <c r="P64" s="206"/>
      <c r="Q64" s="227"/>
      <c r="R64" s="227"/>
      <c r="S64" s="227"/>
      <c r="T64" s="227"/>
      <c r="U64" s="227"/>
      <c r="V64" s="87">
        <f t="shared" si="2"/>
        <v>5</v>
      </c>
      <c r="W64" s="206" t="s">
        <v>114</v>
      </c>
      <c r="X64" s="206"/>
      <c r="Y64" s="206"/>
      <c r="Z64" s="206"/>
      <c r="AA64" s="206" t="s">
        <v>139</v>
      </c>
      <c r="AB64" s="206"/>
      <c r="AC64" s="206"/>
      <c r="AD64" s="206"/>
      <c r="AE64" s="281"/>
      <c r="AF64" s="281"/>
      <c r="AG64" s="281"/>
      <c r="AH64" s="281"/>
      <c r="AI64" s="281"/>
      <c r="AJ64" s="281"/>
      <c r="AK64" s="281"/>
    </row>
    <row r="65" spans="1:38" ht="17" customHeight="1">
      <c r="B65" s="91"/>
      <c r="C65" s="227"/>
      <c r="D65" s="227"/>
      <c r="E65" s="227"/>
      <c r="F65" s="227"/>
      <c r="G65" s="227"/>
      <c r="H65" s="87">
        <f t="shared" si="1"/>
        <v>6</v>
      </c>
      <c r="I65" s="206" t="s">
        <v>114</v>
      </c>
      <c r="J65" s="206"/>
      <c r="K65" s="206"/>
      <c r="L65" s="206"/>
      <c r="M65" s="206" t="s">
        <v>114</v>
      </c>
      <c r="N65" s="206"/>
      <c r="O65" s="206"/>
      <c r="P65" s="206"/>
      <c r="Q65" s="227"/>
      <c r="R65" s="227"/>
      <c r="S65" s="227"/>
      <c r="T65" s="227"/>
      <c r="U65" s="227"/>
      <c r="V65" s="87">
        <f t="shared" si="2"/>
        <v>6</v>
      </c>
      <c r="W65" s="206" t="s">
        <v>114</v>
      </c>
      <c r="X65" s="206"/>
      <c r="Y65" s="206"/>
      <c r="Z65" s="206"/>
      <c r="AA65" s="206" t="s">
        <v>1028</v>
      </c>
      <c r="AB65" s="206"/>
      <c r="AC65" s="206"/>
      <c r="AD65" s="206"/>
      <c r="AE65" s="281"/>
      <c r="AF65" s="281"/>
      <c r="AG65" s="281"/>
      <c r="AH65" s="281"/>
      <c r="AI65" s="281"/>
      <c r="AJ65" s="281"/>
      <c r="AK65" s="281"/>
    </row>
    <row r="66" spans="1:38" ht="17" customHeight="1">
      <c r="B66" s="91"/>
      <c r="C66" s="227"/>
      <c r="D66" s="227"/>
      <c r="E66" s="227"/>
      <c r="F66" s="227"/>
      <c r="G66" s="227"/>
      <c r="H66" s="87">
        <f t="shared" si="1"/>
        <v>7</v>
      </c>
      <c r="I66" s="206" t="s">
        <v>114</v>
      </c>
      <c r="J66" s="206"/>
      <c r="K66" s="206"/>
      <c r="L66" s="206"/>
      <c r="M66" s="206" t="s">
        <v>114</v>
      </c>
      <c r="N66" s="206"/>
      <c r="O66" s="206"/>
      <c r="P66" s="206"/>
      <c r="Q66" s="227"/>
      <c r="R66" s="227"/>
      <c r="S66" s="227"/>
      <c r="T66" s="227"/>
      <c r="U66" s="227"/>
      <c r="V66" s="87">
        <f t="shared" si="2"/>
        <v>7</v>
      </c>
      <c r="W66" s="206" t="s">
        <v>114</v>
      </c>
      <c r="X66" s="206"/>
      <c r="Y66" s="206"/>
      <c r="Z66" s="206"/>
      <c r="AA66" s="206" t="s">
        <v>1029</v>
      </c>
      <c r="AB66" s="206"/>
      <c r="AC66" s="206"/>
      <c r="AD66" s="206"/>
      <c r="AE66" s="281"/>
      <c r="AF66" s="281"/>
      <c r="AG66" s="281"/>
      <c r="AH66" s="281"/>
      <c r="AI66" s="281"/>
      <c r="AJ66" s="281"/>
      <c r="AK66" s="281"/>
    </row>
    <row r="67" spans="1:38" ht="17" customHeight="1">
      <c r="B67" s="91"/>
      <c r="C67" s="227"/>
      <c r="D67" s="227"/>
      <c r="E67" s="227"/>
      <c r="F67" s="227"/>
      <c r="G67" s="227"/>
      <c r="H67" s="87">
        <f t="shared" si="1"/>
        <v>8</v>
      </c>
      <c r="I67" s="206" t="s">
        <v>114</v>
      </c>
      <c r="J67" s="206"/>
      <c r="K67" s="206"/>
      <c r="L67" s="206"/>
      <c r="M67" s="206" t="s">
        <v>114</v>
      </c>
      <c r="N67" s="206"/>
      <c r="O67" s="206"/>
      <c r="P67" s="206"/>
      <c r="Q67" s="227"/>
      <c r="R67" s="227"/>
      <c r="S67" s="227"/>
      <c r="T67" s="227"/>
      <c r="U67" s="227"/>
      <c r="V67" s="87">
        <f t="shared" si="2"/>
        <v>8</v>
      </c>
      <c r="W67" s="206" t="s">
        <v>114</v>
      </c>
      <c r="X67" s="206"/>
      <c r="Y67" s="206"/>
      <c r="Z67" s="206"/>
      <c r="AA67" s="206" t="s">
        <v>1030</v>
      </c>
      <c r="AB67" s="206"/>
      <c r="AC67" s="206"/>
      <c r="AD67" s="206"/>
      <c r="AE67" s="281"/>
      <c r="AF67" s="281"/>
      <c r="AG67" s="281"/>
      <c r="AH67" s="281"/>
      <c r="AI67" s="281"/>
      <c r="AJ67" s="281"/>
      <c r="AK67" s="281"/>
    </row>
    <row r="68" spans="1:38" ht="17" customHeight="1">
      <c r="B68" s="91"/>
      <c r="C68" s="227"/>
      <c r="D68" s="227"/>
      <c r="E68" s="227"/>
      <c r="F68" s="227"/>
      <c r="G68" s="227"/>
      <c r="H68" s="87">
        <f t="shared" si="1"/>
        <v>9</v>
      </c>
      <c r="I68" s="206" t="s">
        <v>114</v>
      </c>
      <c r="J68" s="206"/>
      <c r="K68" s="206"/>
      <c r="L68" s="206"/>
      <c r="M68" s="206" t="s">
        <v>114</v>
      </c>
      <c r="N68" s="206"/>
      <c r="O68" s="206"/>
      <c r="P68" s="206"/>
      <c r="Q68" s="227"/>
      <c r="R68" s="227"/>
      <c r="S68" s="227"/>
      <c r="T68" s="227"/>
      <c r="U68" s="227"/>
      <c r="V68" s="87">
        <f t="shared" si="2"/>
        <v>9</v>
      </c>
      <c r="W68" s="206" t="s">
        <v>114</v>
      </c>
      <c r="X68" s="206"/>
      <c r="Y68" s="206"/>
      <c r="Z68" s="206"/>
      <c r="AA68" s="206" t="s">
        <v>1031</v>
      </c>
      <c r="AB68" s="206"/>
      <c r="AC68" s="206"/>
      <c r="AD68" s="206"/>
      <c r="AE68" s="281"/>
      <c r="AF68" s="281"/>
      <c r="AG68" s="281"/>
      <c r="AH68" s="281"/>
      <c r="AI68" s="281"/>
      <c r="AJ68" s="281"/>
      <c r="AK68" s="281"/>
    </row>
    <row r="69" spans="1:38" ht="17" customHeight="1">
      <c r="B69" s="91"/>
      <c r="C69" s="227"/>
      <c r="D69" s="227"/>
      <c r="E69" s="227"/>
      <c r="F69" s="227"/>
      <c r="G69" s="227"/>
      <c r="H69" s="87">
        <f t="shared" si="1"/>
        <v>10</v>
      </c>
      <c r="I69" s="206" t="s">
        <v>114</v>
      </c>
      <c r="J69" s="206"/>
      <c r="K69" s="206"/>
      <c r="L69" s="206"/>
      <c r="M69" s="206" t="s">
        <v>114</v>
      </c>
      <c r="N69" s="206"/>
      <c r="O69" s="206"/>
      <c r="P69" s="206"/>
      <c r="Q69" s="227"/>
      <c r="R69" s="227"/>
      <c r="S69" s="227"/>
      <c r="T69" s="227"/>
      <c r="U69" s="227"/>
      <c r="V69" s="87">
        <f t="shared" si="2"/>
        <v>10</v>
      </c>
      <c r="W69" s="206" t="s">
        <v>114</v>
      </c>
      <c r="X69" s="206"/>
      <c r="Y69" s="206"/>
      <c r="Z69" s="206"/>
      <c r="AA69" s="206" t="s">
        <v>1032</v>
      </c>
      <c r="AB69" s="206"/>
      <c r="AC69" s="206"/>
      <c r="AD69" s="206"/>
      <c r="AE69" s="281"/>
      <c r="AF69" s="281"/>
      <c r="AG69" s="281"/>
      <c r="AH69" s="281"/>
      <c r="AI69" s="281"/>
      <c r="AJ69" s="281"/>
      <c r="AK69" s="281"/>
    </row>
    <row r="70" spans="1:38" ht="17" customHeight="1">
      <c r="B70" s="91"/>
      <c r="C70" s="227"/>
      <c r="D70" s="227"/>
      <c r="E70" s="227"/>
      <c r="F70" s="227"/>
      <c r="G70" s="227"/>
      <c r="H70" s="87">
        <f t="shared" si="1"/>
        <v>11</v>
      </c>
      <c r="I70" s="206" t="s">
        <v>114</v>
      </c>
      <c r="J70" s="206"/>
      <c r="K70" s="206"/>
      <c r="L70" s="206"/>
      <c r="M70" s="206" t="s">
        <v>114</v>
      </c>
      <c r="N70" s="206"/>
      <c r="O70" s="206"/>
      <c r="P70" s="206"/>
      <c r="Q70" s="227"/>
      <c r="R70" s="227"/>
      <c r="S70" s="227"/>
      <c r="T70" s="227"/>
      <c r="U70" s="227"/>
      <c r="V70" s="87">
        <f t="shared" si="2"/>
        <v>11</v>
      </c>
      <c r="W70" s="206" t="s">
        <v>114</v>
      </c>
      <c r="X70" s="206"/>
      <c r="Y70" s="206"/>
      <c r="Z70" s="206"/>
      <c r="AA70" s="206" t="s">
        <v>140</v>
      </c>
      <c r="AB70" s="206"/>
      <c r="AC70" s="206"/>
      <c r="AD70" s="206"/>
      <c r="AE70" s="281"/>
      <c r="AF70" s="281"/>
      <c r="AG70" s="281"/>
      <c r="AH70" s="281"/>
      <c r="AI70" s="281"/>
      <c r="AJ70" s="281"/>
      <c r="AK70" s="281"/>
    </row>
    <row r="71" spans="1:38" ht="17" customHeight="1">
      <c r="B71" s="91"/>
      <c r="C71" s="227"/>
      <c r="D71" s="227"/>
      <c r="E71" s="227"/>
      <c r="F71" s="227"/>
      <c r="G71" s="227"/>
      <c r="H71" s="87">
        <f t="shared" si="1"/>
        <v>12</v>
      </c>
      <c r="I71" s="206" t="s">
        <v>114</v>
      </c>
      <c r="J71" s="206"/>
      <c r="K71" s="206"/>
      <c r="L71" s="206"/>
      <c r="M71" s="206" t="s">
        <v>114</v>
      </c>
      <c r="N71" s="206"/>
      <c r="O71" s="206"/>
      <c r="P71" s="206"/>
      <c r="Q71" s="227"/>
      <c r="R71" s="227"/>
      <c r="S71" s="227"/>
      <c r="T71" s="227"/>
      <c r="U71" s="227"/>
      <c r="V71" s="87">
        <f t="shared" si="2"/>
        <v>12</v>
      </c>
      <c r="W71" s="206" t="s">
        <v>114</v>
      </c>
      <c r="X71" s="206"/>
      <c r="Y71" s="206"/>
      <c r="Z71" s="206"/>
      <c r="AA71" s="206" t="s">
        <v>704</v>
      </c>
      <c r="AB71" s="206"/>
      <c r="AC71" s="206"/>
      <c r="AD71" s="206"/>
      <c r="AE71" s="281"/>
      <c r="AF71" s="281"/>
      <c r="AG71" s="281"/>
      <c r="AH71" s="281"/>
      <c r="AI71" s="281"/>
      <c r="AJ71" s="281"/>
      <c r="AK71" s="281"/>
    </row>
    <row r="72" spans="1:38" ht="17" customHeight="1">
      <c r="B72" s="91"/>
      <c r="C72" s="227"/>
      <c r="D72" s="227"/>
      <c r="E72" s="227"/>
      <c r="F72" s="227"/>
      <c r="G72" s="227"/>
      <c r="H72" s="87">
        <f t="shared" si="1"/>
        <v>13</v>
      </c>
      <c r="I72" s="206" t="s">
        <v>114</v>
      </c>
      <c r="J72" s="206"/>
      <c r="K72" s="206"/>
      <c r="L72" s="206"/>
      <c r="M72" s="206" t="s">
        <v>114</v>
      </c>
      <c r="N72" s="206"/>
      <c r="O72" s="206"/>
      <c r="P72" s="206"/>
      <c r="Q72" s="227"/>
      <c r="R72" s="227"/>
      <c r="S72" s="227"/>
      <c r="T72" s="227"/>
      <c r="U72" s="227"/>
      <c r="V72" s="87">
        <f t="shared" si="2"/>
        <v>13</v>
      </c>
      <c r="W72" s="206" t="s">
        <v>114</v>
      </c>
      <c r="X72" s="206"/>
      <c r="Y72" s="206"/>
      <c r="Z72" s="206"/>
      <c r="AA72" s="206" t="s">
        <v>1033</v>
      </c>
      <c r="AB72" s="206"/>
      <c r="AC72" s="206"/>
      <c r="AD72" s="206"/>
      <c r="AE72" s="281"/>
      <c r="AF72" s="281"/>
      <c r="AG72" s="281"/>
      <c r="AH72" s="281"/>
      <c r="AI72" s="281"/>
      <c r="AJ72" s="281"/>
      <c r="AK72" s="281"/>
    </row>
    <row r="73" spans="1:38" ht="17" customHeight="1">
      <c r="B73" s="91"/>
      <c r="C73" s="227"/>
      <c r="D73" s="227"/>
      <c r="E73" s="227"/>
      <c r="F73" s="227"/>
      <c r="G73" s="227"/>
      <c r="H73" s="87">
        <f t="shared" si="1"/>
        <v>14</v>
      </c>
      <c r="I73" s="206" t="s">
        <v>114</v>
      </c>
      <c r="J73" s="206"/>
      <c r="K73" s="206"/>
      <c r="L73" s="206"/>
      <c r="M73" s="206" t="s">
        <v>114</v>
      </c>
      <c r="N73" s="206"/>
      <c r="O73" s="206"/>
      <c r="P73" s="206"/>
      <c r="Q73" s="227"/>
      <c r="R73" s="227"/>
      <c r="S73" s="227"/>
      <c r="T73" s="227"/>
      <c r="U73" s="227"/>
      <c r="V73" s="87">
        <f t="shared" si="2"/>
        <v>14</v>
      </c>
      <c r="W73" s="206" t="s">
        <v>114</v>
      </c>
      <c r="X73" s="206"/>
      <c r="Y73" s="206"/>
      <c r="Z73" s="206"/>
      <c r="AA73" s="206" t="s">
        <v>705</v>
      </c>
      <c r="AB73" s="206"/>
      <c r="AC73" s="206"/>
      <c r="AD73" s="206"/>
      <c r="AE73" s="281"/>
      <c r="AF73" s="281"/>
      <c r="AG73" s="281"/>
      <c r="AH73" s="281"/>
      <c r="AI73" s="281"/>
      <c r="AJ73" s="281"/>
      <c r="AK73" s="281"/>
    </row>
    <row r="74" spans="1:38" ht="17" customHeight="1">
      <c r="B74" s="91"/>
      <c r="C74" s="227"/>
      <c r="D74" s="227"/>
      <c r="E74" s="227"/>
      <c r="F74" s="227"/>
      <c r="G74" s="227"/>
      <c r="H74" s="87">
        <f t="shared" si="1"/>
        <v>15</v>
      </c>
      <c r="I74" s="206" t="s">
        <v>114</v>
      </c>
      <c r="J74" s="206"/>
      <c r="K74" s="206"/>
      <c r="L74" s="206"/>
      <c r="M74" s="206" t="s">
        <v>114</v>
      </c>
      <c r="N74" s="206"/>
      <c r="O74" s="206"/>
      <c r="P74" s="206"/>
      <c r="Q74" s="227"/>
      <c r="R74" s="227"/>
      <c r="S74" s="227"/>
      <c r="T74" s="227"/>
      <c r="U74" s="227"/>
      <c r="V74" s="87">
        <f t="shared" si="2"/>
        <v>15</v>
      </c>
      <c r="W74" s="206" t="s">
        <v>114</v>
      </c>
      <c r="X74" s="206"/>
      <c r="Y74" s="206"/>
      <c r="Z74" s="206"/>
      <c r="AA74" s="206" t="s">
        <v>706</v>
      </c>
      <c r="AB74" s="206"/>
      <c r="AC74" s="206"/>
      <c r="AD74" s="206"/>
      <c r="AE74" s="281"/>
      <c r="AF74" s="281"/>
      <c r="AG74" s="281"/>
      <c r="AH74" s="281"/>
      <c r="AI74" s="281"/>
      <c r="AJ74" s="281"/>
      <c r="AK74" s="281"/>
    </row>
    <row r="75" spans="1:38" ht="17" customHeight="1">
      <c r="B75" s="91"/>
      <c r="C75" s="227"/>
      <c r="D75" s="227"/>
      <c r="E75" s="227"/>
      <c r="F75" s="227"/>
      <c r="G75" s="227"/>
      <c r="H75" s="87">
        <f t="shared" si="1"/>
        <v>16</v>
      </c>
      <c r="I75" s="206" t="s">
        <v>114</v>
      </c>
      <c r="J75" s="206"/>
      <c r="K75" s="206"/>
      <c r="L75" s="206"/>
      <c r="M75" s="206" t="s">
        <v>114</v>
      </c>
      <c r="N75" s="206"/>
      <c r="O75" s="206"/>
      <c r="P75" s="206"/>
      <c r="Q75" s="227"/>
      <c r="R75" s="227"/>
      <c r="S75" s="227"/>
      <c r="T75" s="227"/>
      <c r="U75" s="227"/>
      <c r="V75" s="87">
        <f t="shared" si="2"/>
        <v>16</v>
      </c>
      <c r="W75" s="206" t="s">
        <v>114</v>
      </c>
      <c r="X75" s="206"/>
      <c r="Y75" s="206"/>
      <c r="Z75" s="206"/>
      <c r="AA75" s="206" t="s">
        <v>707</v>
      </c>
      <c r="AB75" s="206"/>
      <c r="AC75" s="206"/>
      <c r="AD75" s="206"/>
      <c r="AE75" s="281"/>
      <c r="AF75" s="281"/>
      <c r="AG75" s="281"/>
      <c r="AH75" s="281"/>
      <c r="AI75" s="281"/>
      <c r="AJ75" s="281"/>
      <c r="AK75" s="281"/>
    </row>
    <row r="76" spans="1:38" ht="17" customHeight="1">
      <c r="B76" s="91"/>
      <c r="C76" s="227"/>
      <c r="D76" s="227"/>
      <c r="E76" s="227"/>
      <c r="F76" s="227"/>
      <c r="G76" s="227"/>
      <c r="H76" s="87">
        <f t="shared" si="1"/>
        <v>17</v>
      </c>
      <c r="I76" s="206" t="s">
        <v>114</v>
      </c>
      <c r="J76" s="206"/>
      <c r="K76" s="206"/>
      <c r="L76" s="206"/>
      <c r="M76" s="206" t="s">
        <v>114</v>
      </c>
      <c r="N76" s="206"/>
      <c r="O76" s="206"/>
      <c r="P76" s="206"/>
      <c r="Q76" s="227"/>
      <c r="R76" s="227"/>
      <c r="S76" s="227"/>
      <c r="T76" s="227"/>
      <c r="U76" s="227"/>
      <c r="V76" s="87">
        <f t="shared" si="2"/>
        <v>17</v>
      </c>
      <c r="W76" s="206" t="s">
        <v>114</v>
      </c>
      <c r="X76" s="206"/>
      <c r="Y76" s="206"/>
      <c r="Z76" s="206"/>
      <c r="AA76" s="206" t="s">
        <v>708</v>
      </c>
      <c r="AB76" s="206"/>
      <c r="AC76" s="206"/>
      <c r="AD76" s="206"/>
      <c r="AE76" s="281"/>
      <c r="AF76" s="281"/>
      <c r="AG76" s="281"/>
      <c r="AH76" s="281"/>
      <c r="AI76" s="281"/>
      <c r="AJ76" s="281"/>
      <c r="AK76" s="281"/>
    </row>
    <row r="77" spans="1:38" ht="17" customHeight="1">
      <c r="B77" s="91"/>
      <c r="C77" s="227"/>
      <c r="D77" s="227"/>
      <c r="E77" s="227"/>
      <c r="F77" s="227"/>
      <c r="G77" s="227"/>
      <c r="H77" s="87">
        <f t="shared" si="1"/>
        <v>18</v>
      </c>
      <c r="I77" s="206" t="s">
        <v>114</v>
      </c>
      <c r="J77" s="206"/>
      <c r="K77" s="206"/>
      <c r="L77" s="206"/>
      <c r="M77" s="206" t="s">
        <v>114</v>
      </c>
      <c r="N77" s="206"/>
      <c r="O77" s="206"/>
      <c r="P77" s="206"/>
      <c r="Q77" s="227"/>
      <c r="R77" s="227"/>
      <c r="S77" s="227"/>
      <c r="T77" s="227"/>
      <c r="U77" s="227"/>
      <c r="V77" s="87">
        <f t="shared" si="2"/>
        <v>18</v>
      </c>
      <c r="W77" s="206" t="s">
        <v>114</v>
      </c>
      <c r="X77" s="206"/>
      <c r="Y77" s="206"/>
      <c r="Z77" s="206"/>
      <c r="AA77" s="206" t="s">
        <v>709</v>
      </c>
      <c r="AB77" s="206"/>
      <c r="AC77" s="206"/>
      <c r="AD77" s="206"/>
      <c r="AE77" s="281"/>
      <c r="AF77" s="281"/>
      <c r="AG77" s="281"/>
      <c r="AH77" s="281"/>
      <c r="AI77" s="281"/>
      <c r="AJ77" s="281"/>
      <c r="AK77" s="281"/>
    </row>
    <row r="78" spans="1:38" ht="17" customHeight="1">
      <c r="B78" s="91"/>
      <c r="C78" s="227"/>
      <c r="D78" s="227"/>
      <c r="E78" s="227"/>
      <c r="F78" s="227"/>
      <c r="G78" s="227"/>
      <c r="H78" s="87">
        <f t="shared" si="1"/>
        <v>19</v>
      </c>
      <c r="I78" s="206" t="s">
        <v>114</v>
      </c>
      <c r="J78" s="206"/>
      <c r="K78" s="206"/>
      <c r="L78" s="206"/>
      <c r="M78" s="206" t="s">
        <v>114</v>
      </c>
      <c r="N78" s="206"/>
      <c r="O78" s="206"/>
      <c r="P78" s="206"/>
      <c r="Q78" s="227"/>
      <c r="R78" s="227"/>
      <c r="S78" s="227"/>
      <c r="T78" s="227"/>
      <c r="U78" s="227"/>
      <c r="V78" s="87">
        <f t="shared" si="2"/>
        <v>19</v>
      </c>
      <c r="W78" s="206" t="s">
        <v>114</v>
      </c>
      <c r="X78" s="206"/>
      <c r="Y78" s="206"/>
      <c r="Z78" s="206"/>
      <c r="AA78" s="206" t="s">
        <v>710</v>
      </c>
      <c r="AB78" s="206"/>
      <c r="AC78" s="206"/>
      <c r="AD78" s="206"/>
      <c r="AE78" s="281"/>
      <c r="AF78" s="281"/>
      <c r="AG78" s="281"/>
      <c r="AH78" s="281"/>
      <c r="AI78" s="281"/>
      <c r="AJ78" s="281"/>
      <c r="AK78" s="281"/>
    </row>
    <row r="79" spans="1:38" ht="17" customHeight="1">
      <c r="B79" s="90"/>
      <c r="C79" s="240"/>
      <c r="D79" s="240"/>
      <c r="E79" s="240"/>
      <c r="F79" s="240"/>
      <c r="G79" s="240"/>
      <c r="H79" s="87">
        <f t="shared" si="1"/>
        <v>20</v>
      </c>
      <c r="I79" s="206" t="s">
        <v>114</v>
      </c>
      <c r="J79" s="206"/>
      <c r="K79" s="206"/>
      <c r="L79" s="206"/>
      <c r="M79" s="206" t="s">
        <v>114</v>
      </c>
      <c r="N79" s="206"/>
      <c r="O79" s="206"/>
      <c r="P79" s="206"/>
      <c r="Q79" s="240"/>
      <c r="R79" s="240"/>
      <c r="S79" s="240"/>
      <c r="T79" s="240"/>
      <c r="U79" s="240"/>
      <c r="V79" s="87">
        <f t="shared" si="2"/>
        <v>20</v>
      </c>
      <c r="W79" s="206" t="s">
        <v>114</v>
      </c>
      <c r="X79" s="206"/>
      <c r="Y79" s="206"/>
      <c r="Z79" s="206"/>
      <c r="AA79" s="206" t="s">
        <v>711</v>
      </c>
      <c r="AB79" s="206"/>
      <c r="AC79" s="206"/>
      <c r="AD79" s="206"/>
      <c r="AE79" s="281"/>
      <c r="AF79" s="281"/>
      <c r="AG79" s="281"/>
      <c r="AH79" s="281"/>
      <c r="AI79" s="281"/>
      <c r="AJ79" s="281"/>
      <c r="AK79" s="281"/>
    </row>
    <row r="80" spans="1:38" ht="17" customHeight="1">
      <c r="A80" s="74" t="s">
        <v>997</v>
      </c>
      <c r="B80" s="89">
        <v>32</v>
      </c>
      <c r="C80" s="239" t="s">
        <v>98</v>
      </c>
      <c r="D80" s="239"/>
      <c r="E80" s="239"/>
      <c r="F80" s="239"/>
      <c r="G80" s="239"/>
      <c r="H80" s="85">
        <v>1</v>
      </c>
      <c r="I80" s="206" t="s">
        <v>114</v>
      </c>
      <c r="J80" s="206"/>
      <c r="K80" s="206"/>
      <c r="L80" s="206"/>
      <c r="M80" s="207" t="s">
        <v>121</v>
      </c>
      <c r="N80" s="208"/>
      <c r="O80" s="208"/>
      <c r="P80" s="209"/>
      <c r="Q80" s="239" t="s">
        <v>98</v>
      </c>
      <c r="R80" s="239"/>
      <c r="S80" s="239"/>
      <c r="T80" s="239"/>
      <c r="U80" s="239"/>
      <c r="V80" s="87">
        <v>1</v>
      </c>
      <c r="W80" s="206" t="s">
        <v>114</v>
      </c>
      <c r="X80" s="206"/>
      <c r="Y80" s="206"/>
      <c r="Z80" s="206"/>
      <c r="AA80" s="282" t="s">
        <v>81</v>
      </c>
      <c r="AB80" s="282"/>
      <c r="AC80" s="282"/>
      <c r="AD80" s="282"/>
      <c r="AE80" s="224" t="s">
        <v>110</v>
      </c>
      <c r="AF80" s="225"/>
      <c r="AG80" s="225"/>
      <c r="AH80" s="225"/>
      <c r="AI80" s="225"/>
      <c r="AJ80" s="225"/>
      <c r="AK80" s="226"/>
      <c r="AL80" t="s">
        <v>994</v>
      </c>
    </row>
    <row r="81" spans="1:75" ht="17" customHeight="1">
      <c r="A81" s="72"/>
      <c r="B81" s="91"/>
      <c r="C81" s="227"/>
      <c r="D81" s="227"/>
      <c r="E81" s="227"/>
      <c r="F81" s="227"/>
      <c r="G81" s="227"/>
      <c r="H81" s="85"/>
      <c r="I81" s="206"/>
      <c r="J81" s="206"/>
      <c r="K81" s="206"/>
      <c r="L81" s="206"/>
      <c r="M81" s="207"/>
      <c r="N81" s="208"/>
      <c r="O81" s="208"/>
      <c r="P81" s="209"/>
      <c r="Q81" s="227"/>
      <c r="R81" s="227"/>
      <c r="S81" s="227"/>
      <c r="T81" s="227"/>
      <c r="U81" s="227"/>
      <c r="V81" s="87">
        <v>2</v>
      </c>
      <c r="W81" s="206" t="s">
        <v>114</v>
      </c>
      <c r="X81" s="206"/>
      <c r="Y81" s="206"/>
      <c r="Z81" s="206"/>
      <c r="AA81" s="206" t="s">
        <v>1034</v>
      </c>
      <c r="AB81" s="206"/>
      <c r="AC81" s="206"/>
      <c r="AD81" s="206"/>
      <c r="AE81" s="228"/>
      <c r="AF81" s="153"/>
      <c r="AG81" s="153"/>
      <c r="AH81" s="153"/>
      <c r="AI81" s="153"/>
      <c r="AJ81" s="153"/>
      <c r="AK81" s="229"/>
    </row>
    <row r="82" spans="1:75" ht="17" customHeight="1">
      <c r="A82" s="72"/>
      <c r="B82" s="90"/>
      <c r="C82" s="240"/>
      <c r="D82" s="240"/>
      <c r="E82" s="240"/>
      <c r="F82" s="240"/>
      <c r="G82" s="240"/>
      <c r="H82" s="85"/>
      <c r="I82" s="206"/>
      <c r="J82" s="206"/>
      <c r="K82" s="206"/>
      <c r="L82" s="206"/>
      <c r="M82" s="207"/>
      <c r="N82" s="208"/>
      <c r="O82" s="208"/>
      <c r="P82" s="209"/>
      <c r="Q82" s="240"/>
      <c r="R82" s="240"/>
      <c r="S82" s="240"/>
      <c r="T82" s="240"/>
      <c r="U82" s="240"/>
      <c r="V82" s="87">
        <v>3</v>
      </c>
      <c r="W82" s="206" t="s">
        <v>114</v>
      </c>
      <c r="X82" s="206"/>
      <c r="Y82" s="206"/>
      <c r="Z82" s="206"/>
      <c r="AA82" s="206" t="s">
        <v>996</v>
      </c>
      <c r="AB82" s="206"/>
      <c r="AC82" s="206"/>
      <c r="AD82" s="206"/>
      <c r="AE82" s="241"/>
      <c r="AF82" s="242"/>
      <c r="AG82" s="242"/>
      <c r="AH82" s="242"/>
      <c r="AI82" s="242"/>
      <c r="AJ82" s="242"/>
      <c r="AK82" s="243"/>
    </row>
    <row r="83" spans="1:75" ht="17" customHeight="1">
      <c r="A83" s="74" t="s">
        <v>997</v>
      </c>
      <c r="B83" s="89">
        <v>33</v>
      </c>
      <c r="C83" s="239" t="s">
        <v>98</v>
      </c>
      <c r="D83" s="239"/>
      <c r="E83" s="239"/>
      <c r="F83" s="239"/>
      <c r="G83" s="239"/>
      <c r="H83" s="85">
        <v>1</v>
      </c>
      <c r="I83" s="206" t="s">
        <v>114</v>
      </c>
      <c r="J83" s="206"/>
      <c r="K83" s="206"/>
      <c r="L83" s="206"/>
      <c r="M83" s="207" t="s">
        <v>121</v>
      </c>
      <c r="N83" s="208"/>
      <c r="O83" s="208"/>
      <c r="P83" s="209"/>
      <c r="Q83" s="239" t="s">
        <v>98</v>
      </c>
      <c r="R83" s="239"/>
      <c r="S83" s="239"/>
      <c r="T83" s="239"/>
      <c r="U83" s="239"/>
      <c r="V83" s="87">
        <v>1</v>
      </c>
      <c r="W83" s="206" t="s">
        <v>114</v>
      </c>
      <c r="X83" s="206"/>
      <c r="Y83" s="206"/>
      <c r="Z83" s="206"/>
      <c r="AA83" s="206" t="s">
        <v>995</v>
      </c>
      <c r="AB83" s="206"/>
      <c r="AC83" s="206"/>
      <c r="AD83" s="206"/>
      <c r="AE83" s="224" t="s">
        <v>110</v>
      </c>
      <c r="AF83" s="225"/>
      <c r="AG83" s="225"/>
      <c r="AH83" s="225"/>
      <c r="AI83" s="225"/>
      <c r="AJ83" s="225"/>
      <c r="AK83" s="226"/>
      <c r="AL83" t="s">
        <v>999</v>
      </c>
    </row>
    <row r="84" spans="1:75" ht="17" customHeight="1">
      <c r="A84" s="72"/>
      <c r="B84" s="91"/>
      <c r="C84" s="227"/>
      <c r="D84" s="227"/>
      <c r="E84" s="227"/>
      <c r="F84" s="227"/>
      <c r="G84" s="227"/>
      <c r="H84" s="85"/>
      <c r="I84" s="206"/>
      <c r="J84" s="206"/>
      <c r="K84" s="206"/>
      <c r="L84" s="206"/>
      <c r="M84" s="207"/>
      <c r="N84" s="208"/>
      <c r="O84" s="208"/>
      <c r="P84" s="209"/>
      <c r="Q84" s="227"/>
      <c r="R84" s="227"/>
      <c r="S84" s="227"/>
      <c r="T84" s="227"/>
      <c r="U84" s="227"/>
      <c r="V84" s="87">
        <v>2</v>
      </c>
      <c r="W84" s="206" t="s">
        <v>114</v>
      </c>
      <c r="X84" s="206"/>
      <c r="Y84" s="206"/>
      <c r="Z84" s="206"/>
      <c r="AA84" s="282" t="s">
        <v>998</v>
      </c>
      <c r="AB84" s="282"/>
      <c r="AC84" s="282"/>
      <c r="AD84" s="282"/>
      <c r="AE84" s="228"/>
      <c r="AF84" s="153"/>
      <c r="AG84" s="153"/>
      <c r="AH84" s="153"/>
      <c r="AI84" s="153"/>
      <c r="AJ84" s="153"/>
      <c r="AK84" s="229"/>
    </row>
    <row r="85" spans="1:75" ht="17" customHeight="1">
      <c r="A85" s="72"/>
      <c r="B85" s="90"/>
      <c r="C85" s="240"/>
      <c r="D85" s="240"/>
      <c r="E85" s="240"/>
      <c r="F85" s="240"/>
      <c r="G85" s="240"/>
      <c r="H85" s="85"/>
      <c r="I85" s="206"/>
      <c r="J85" s="206"/>
      <c r="K85" s="206"/>
      <c r="L85" s="206"/>
      <c r="M85" s="207"/>
      <c r="N85" s="208"/>
      <c r="O85" s="208"/>
      <c r="P85" s="209"/>
      <c r="Q85" s="240"/>
      <c r="R85" s="240"/>
      <c r="S85" s="240"/>
      <c r="T85" s="240"/>
      <c r="U85" s="240"/>
      <c r="V85" s="87">
        <v>3</v>
      </c>
      <c r="W85" s="206" t="s">
        <v>114</v>
      </c>
      <c r="X85" s="206"/>
      <c r="Y85" s="206"/>
      <c r="Z85" s="206"/>
      <c r="AA85" s="206" t="s">
        <v>996</v>
      </c>
      <c r="AB85" s="206"/>
      <c r="AC85" s="206"/>
      <c r="AD85" s="206"/>
      <c r="AE85" s="241"/>
      <c r="AF85" s="242"/>
      <c r="AG85" s="242"/>
      <c r="AH85" s="242"/>
      <c r="AI85" s="242"/>
      <c r="AJ85" s="242"/>
      <c r="AK85" s="243"/>
    </row>
    <row r="86" spans="1:75" ht="17" customHeight="1">
      <c r="A86" s="74" t="s">
        <v>997</v>
      </c>
      <c r="B86" s="89">
        <v>34</v>
      </c>
      <c r="C86" s="239" t="s">
        <v>98</v>
      </c>
      <c r="D86" s="239"/>
      <c r="E86" s="239"/>
      <c r="F86" s="239"/>
      <c r="G86" s="239"/>
      <c r="H86" s="85">
        <v>1</v>
      </c>
      <c r="I86" s="206" t="s">
        <v>114</v>
      </c>
      <c r="J86" s="206"/>
      <c r="K86" s="206"/>
      <c r="L86" s="206"/>
      <c r="M86" s="207" t="s">
        <v>121</v>
      </c>
      <c r="N86" s="208"/>
      <c r="O86" s="208"/>
      <c r="P86" s="209"/>
      <c r="Q86" s="239" t="s">
        <v>98</v>
      </c>
      <c r="R86" s="239"/>
      <c r="S86" s="239"/>
      <c r="T86" s="239"/>
      <c r="U86" s="239"/>
      <c r="V86" s="87">
        <v>1</v>
      </c>
      <c r="W86" s="206" t="s">
        <v>114</v>
      </c>
      <c r="X86" s="206"/>
      <c r="Y86" s="206"/>
      <c r="Z86" s="206"/>
      <c r="AA86" s="206" t="s">
        <v>995</v>
      </c>
      <c r="AB86" s="206"/>
      <c r="AC86" s="206"/>
      <c r="AD86" s="206"/>
      <c r="AE86" s="224" t="s">
        <v>110</v>
      </c>
      <c r="AF86" s="225"/>
      <c r="AG86" s="225"/>
      <c r="AH86" s="225"/>
      <c r="AI86" s="225"/>
      <c r="AJ86" s="225"/>
      <c r="AK86" s="226"/>
      <c r="AL86" t="s">
        <v>1002</v>
      </c>
    </row>
    <row r="87" spans="1:75" ht="17" customHeight="1">
      <c r="B87" s="91"/>
      <c r="C87" s="227"/>
      <c r="D87" s="227"/>
      <c r="E87" s="227"/>
      <c r="F87" s="227"/>
      <c r="G87" s="227"/>
      <c r="H87" s="85"/>
      <c r="I87" s="206"/>
      <c r="J87" s="206"/>
      <c r="K87" s="206"/>
      <c r="L87" s="206"/>
      <c r="M87" s="207"/>
      <c r="N87" s="208"/>
      <c r="O87" s="208"/>
      <c r="P87" s="209"/>
      <c r="Q87" s="227"/>
      <c r="R87" s="227"/>
      <c r="S87" s="227"/>
      <c r="T87" s="227"/>
      <c r="U87" s="227"/>
      <c r="V87" s="87">
        <v>2</v>
      </c>
      <c r="W87" s="206" t="s">
        <v>114</v>
      </c>
      <c r="X87" s="206"/>
      <c r="Y87" s="206"/>
      <c r="Z87" s="206"/>
      <c r="AA87" s="206" t="s">
        <v>1001</v>
      </c>
      <c r="AB87" s="206"/>
      <c r="AC87" s="206"/>
      <c r="AD87" s="206"/>
      <c r="AE87" s="228"/>
      <c r="AF87" s="153"/>
      <c r="AG87" s="153"/>
      <c r="AH87" s="153"/>
      <c r="AI87" s="153"/>
      <c r="AJ87" s="153"/>
      <c r="AK87" s="229"/>
    </row>
    <row r="88" spans="1:75" ht="17" customHeight="1">
      <c r="B88" s="90"/>
      <c r="C88" s="240"/>
      <c r="D88" s="240"/>
      <c r="E88" s="240"/>
      <c r="F88" s="240"/>
      <c r="G88" s="240"/>
      <c r="H88" s="85"/>
      <c r="I88" s="206"/>
      <c r="J88" s="206"/>
      <c r="K88" s="206"/>
      <c r="L88" s="206"/>
      <c r="M88" s="207"/>
      <c r="N88" s="208"/>
      <c r="O88" s="208"/>
      <c r="P88" s="209"/>
      <c r="Q88" s="240"/>
      <c r="R88" s="240"/>
      <c r="S88" s="240"/>
      <c r="T88" s="240"/>
      <c r="U88" s="240"/>
      <c r="V88" s="87">
        <v>3</v>
      </c>
      <c r="W88" s="206" t="s">
        <v>114</v>
      </c>
      <c r="X88" s="206"/>
      <c r="Y88" s="206"/>
      <c r="Z88" s="206"/>
      <c r="AA88" s="282" t="s">
        <v>1000</v>
      </c>
      <c r="AB88" s="282"/>
      <c r="AC88" s="282"/>
      <c r="AD88" s="282"/>
      <c r="AE88" s="241"/>
      <c r="AF88" s="242"/>
      <c r="AG88" s="242"/>
      <c r="AH88" s="242"/>
      <c r="AI88" s="242"/>
      <c r="AJ88" s="242"/>
      <c r="AK88" s="243"/>
    </row>
    <row r="90" spans="1:75" ht="17" customHeight="1">
      <c r="B90" t="s">
        <v>107</v>
      </c>
    </row>
    <row r="91" spans="1:75" ht="17" customHeight="1">
      <c r="B91" t="s">
        <v>57</v>
      </c>
      <c r="G91" t="s">
        <v>58</v>
      </c>
    </row>
    <row r="92" spans="1:75" ht="17" customHeight="1">
      <c r="B92" s="192" t="s">
        <v>56</v>
      </c>
      <c r="C92" s="195" t="s">
        <v>103</v>
      </c>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7"/>
      <c r="AO92" s="195" t="s">
        <v>104</v>
      </c>
      <c r="AP92" s="196"/>
      <c r="AQ92" s="196"/>
      <c r="AR92" s="196"/>
      <c r="AS92" s="196"/>
      <c r="AT92" s="196"/>
      <c r="AU92" s="196"/>
      <c r="AV92" s="196"/>
      <c r="AW92" s="196"/>
      <c r="AX92" s="196"/>
      <c r="AY92" s="196"/>
      <c r="AZ92" s="196"/>
      <c r="BA92" s="197"/>
      <c r="BB92" s="195" t="s">
        <v>105</v>
      </c>
      <c r="BC92" s="196"/>
      <c r="BD92" s="196"/>
      <c r="BE92" s="196"/>
      <c r="BF92" s="196"/>
      <c r="BG92" s="196"/>
      <c r="BH92" s="196"/>
      <c r="BI92" s="196"/>
      <c r="BJ92" s="196"/>
      <c r="BK92" s="196"/>
      <c r="BL92" s="196"/>
      <c r="BM92" s="196"/>
      <c r="BN92" s="196"/>
      <c r="BO92" s="196"/>
      <c r="BP92" s="196"/>
      <c r="BQ92" s="196"/>
      <c r="BR92" s="196"/>
      <c r="BS92" s="196"/>
      <c r="BT92" s="196"/>
      <c r="BU92" s="196"/>
      <c r="BV92" s="196"/>
      <c r="BW92" s="197"/>
    </row>
    <row r="93" spans="1:75" ht="17" customHeight="1">
      <c r="B93" s="193"/>
      <c r="C93" s="198" t="s">
        <v>61</v>
      </c>
      <c r="D93" s="199"/>
      <c r="E93" s="199"/>
      <c r="F93" s="199"/>
      <c r="G93" s="199"/>
      <c r="H93" s="199"/>
      <c r="I93" s="199"/>
      <c r="J93" s="199"/>
      <c r="K93" s="199"/>
      <c r="L93" s="199"/>
      <c r="M93" s="199"/>
      <c r="N93" s="199"/>
      <c r="O93" s="199"/>
      <c r="P93" s="199"/>
      <c r="Q93" s="199"/>
      <c r="R93" s="199"/>
      <c r="S93" s="199"/>
      <c r="T93" s="199"/>
      <c r="U93" s="199"/>
      <c r="V93" s="199"/>
      <c r="W93" s="199"/>
      <c r="X93" s="199"/>
      <c r="Y93" s="199"/>
      <c r="Z93" s="199"/>
      <c r="AA93" s="200"/>
      <c r="AB93" s="201" t="s">
        <v>59</v>
      </c>
      <c r="AC93" s="202"/>
      <c r="AD93" s="202"/>
      <c r="AE93" s="202"/>
      <c r="AF93" s="202"/>
      <c r="AG93" s="202"/>
      <c r="AH93" s="202"/>
      <c r="AI93" s="202"/>
      <c r="AJ93" s="202"/>
      <c r="AK93" s="202"/>
      <c r="AL93" s="202"/>
      <c r="AM93" s="202"/>
      <c r="AN93" s="203"/>
      <c r="AO93" s="253" t="s">
        <v>102</v>
      </c>
      <c r="AP93" s="254"/>
      <c r="AQ93" s="254"/>
      <c r="AR93" s="254"/>
      <c r="AS93" s="254"/>
      <c r="AT93" s="254"/>
      <c r="AU93" s="254"/>
      <c r="AV93" s="254"/>
      <c r="AW93" s="254"/>
      <c r="AX93" s="254"/>
      <c r="AY93" s="254"/>
      <c r="AZ93" s="254"/>
      <c r="BA93" s="255"/>
      <c r="BB93" s="198" t="s">
        <v>61</v>
      </c>
      <c r="BC93" s="199"/>
      <c r="BD93" s="199"/>
      <c r="BE93" s="199"/>
      <c r="BF93" s="199"/>
      <c r="BG93" s="199"/>
      <c r="BH93" s="199"/>
      <c r="BI93" s="199"/>
      <c r="BJ93" s="199"/>
      <c r="BK93" s="199"/>
      <c r="BL93" s="199"/>
      <c r="BM93" s="199"/>
      <c r="BN93" s="199"/>
      <c r="BO93" s="199"/>
      <c r="BP93" s="199"/>
      <c r="BQ93" s="199"/>
      <c r="BR93" s="199"/>
      <c r="BS93" s="199"/>
      <c r="BT93" s="199"/>
      <c r="BU93" s="199"/>
      <c r="BV93" s="199"/>
      <c r="BW93" s="200"/>
    </row>
    <row r="94" spans="1:75" ht="17" customHeight="1">
      <c r="B94" s="193"/>
      <c r="C94" s="204" t="s">
        <v>62</v>
      </c>
      <c r="D94" s="204"/>
      <c r="E94" s="204"/>
      <c r="F94" s="204" t="s">
        <v>64</v>
      </c>
      <c r="G94" s="204"/>
      <c r="H94" s="204"/>
      <c r="I94" s="204"/>
      <c r="J94" s="204" t="s">
        <v>83</v>
      </c>
      <c r="K94" s="204"/>
      <c r="L94" s="204"/>
      <c r="M94" s="204" t="s">
        <v>66</v>
      </c>
      <c r="N94" s="204"/>
      <c r="O94" s="204"/>
      <c r="P94" s="204"/>
      <c r="Q94" s="204"/>
      <c r="R94" s="204"/>
      <c r="S94" s="204"/>
      <c r="T94" s="204"/>
      <c r="U94" s="204"/>
      <c r="V94" s="204"/>
      <c r="W94" s="204"/>
      <c r="X94" s="204"/>
      <c r="Y94" s="204"/>
      <c r="Z94" s="204"/>
      <c r="AA94" s="204"/>
      <c r="AB94" s="205" t="s">
        <v>60</v>
      </c>
      <c r="AC94" s="205"/>
      <c r="AD94" s="205"/>
      <c r="AE94" s="205"/>
      <c r="AF94" s="205"/>
      <c r="AG94" s="218" t="s">
        <v>71</v>
      </c>
      <c r="AH94" s="219"/>
      <c r="AI94" s="219"/>
      <c r="AJ94" s="219"/>
      <c r="AK94" s="219"/>
      <c r="AL94" s="219"/>
      <c r="AM94" s="219"/>
      <c r="AN94" s="220"/>
      <c r="AO94" s="256" t="s">
        <v>60</v>
      </c>
      <c r="AP94" s="256"/>
      <c r="AQ94" s="256"/>
      <c r="AR94" s="256"/>
      <c r="AS94" s="256"/>
      <c r="AT94" s="257" t="s">
        <v>71</v>
      </c>
      <c r="AU94" s="258"/>
      <c r="AV94" s="258"/>
      <c r="AW94" s="258"/>
      <c r="AX94" s="258"/>
      <c r="AY94" s="258"/>
      <c r="AZ94" s="258"/>
      <c r="BA94" s="259"/>
      <c r="BB94" s="204" t="s">
        <v>62</v>
      </c>
      <c r="BC94" s="204"/>
      <c r="BD94" s="204"/>
      <c r="BE94" s="204" t="s">
        <v>64</v>
      </c>
      <c r="BF94" s="204"/>
      <c r="BG94" s="204"/>
      <c r="BH94" s="204"/>
      <c r="BI94" s="204" t="s">
        <v>66</v>
      </c>
      <c r="BJ94" s="204"/>
      <c r="BK94" s="204"/>
      <c r="BL94" s="204"/>
      <c r="BM94" s="204"/>
      <c r="BN94" s="204"/>
      <c r="BO94" s="204"/>
      <c r="BP94" s="204"/>
      <c r="BQ94" s="204"/>
      <c r="BR94" s="204"/>
      <c r="BS94" s="204"/>
      <c r="BT94" s="204"/>
      <c r="BU94" s="204"/>
      <c r="BV94" s="204"/>
      <c r="BW94" s="204"/>
    </row>
    <row r="95" spans="1:75" ht="17" customHeight="1">
      <c r="B95" s="194"/>
      <c r="C95" s="221" t="s">
        <v>63</v>
      </c>
      <c r="D95" s="221"/>
      <c r="E95" s="221"/>
      <c r="F95" s="221" t="s">
        <v>65</v>
      </c>
      <c r="G95" s="221"/>
      <c r="H95" s="221"/>
      <c r="I95" s="221"/>
      <c r="J95" s="221" t="s">
        <v>84</v>
      </c>
      <c r="K95" s="221"/>
      <c r="L95" s="221"/>
      <c r="M95" s="221" t="s">
        <v>67</v>
      </c>
      <c r="N95" s="221"/>
      <c r="O95" s="221"/>
      <c r="P95" s="221"/>
      <c r="Q95" s="221"/>
      <c r="R95" s="221"/>
      <c r="S95" s="221"/>
      <c r="T95" s="221"/>
      <c r="U95" s="221"/>
      <c r="V95" s="221"/>
      <c r="W95" s="221"/>
      <c r="X95" s="221"/>
      <c r="Y95" s="221"/>
      <c r="Z95" s="221"/>
      <c r="AA95" s="221"/>
      <c r="AB95" s="205"/>
      <c r="AC95" s="205"/>
      <c r="AD95" s="205"/>
      <c r="AE95" s="205"/>
      <c r="AF95" s="205"/>
      <c r="AG95" s="222" t="s">
        <v>72</v>
      </c>
      <c r="AH95" s="222"/>
      <c r="AI95" s="222"/>
      <c r="AJ95" s="222"/>
      <c r="AK95" s="222" t="s">
        <v>73</v>
      </c>
      <c r="AL95" s="222"/>
      <c r="AM95" s="222"/>
      <c r="AN95" s="222"/>
      <c r="AO95" s="256"/>
      <c r="AP95" s="256"/>
      <c r="AQ95" s="256"/>
      <c r="AR95" s="256"/>
      <c r="AS95" s="256"/>
      <c r="AT95" s="262" t="s">
        <v>72</v>
      </c>
      <c r="AU95" s="262"/>
      <c r="AV95" s="262"/>
      <c r="AW95" s="262"/>
      <c r="AX95" s="262" t="s">
        <v>73</v>
      </c>
      <c r="AY95" s="262"/>
      <c r="AZ95" s="262"/>
      <c r="BA95" s="262"/>
      <c r="BB95" s="221" t="s">
        <v>63</v>
      </c>
      <c r="BC95" s="221"/>
      <c r="BD95" s="221"/>
      <c r="BE95" s="221" t="s">
        <v>65</v>
      </c>
      <c r="BF95" s="221"/>
      <c r="BG95" s="221"/>
      <c r="BH95" s="221"/>
      <c r="BI95" s="221" t="s">
        <v>67</v>
      </c>
      <c r="BJ95" s="221"/>
      <c r="BK95" s="221"/>
      <c r="BL95" s="221"/>
      <c r="BM95" s="221"/>
      <c r="BN95" s="221"/>
      <c r="BO95" s="221"/>
      <c r="BP95" s="221"/>
      <c r="BQ95" s="221"/>
      <c r="BR95" s="221"/>
      <c r="BS95" s="221"/>
      <c r="BT95" s="221"/>
      <c r="BU95" s="221"/>
      <c r="BV95" s="221"/>
      <c r="BW95" s="221"/>
    </row>
    <row r="96" spans="1:75" ht="20" customHeight="1">
      <c r="B96" s="56">
        <v>1</v>
      </c>
      <c r="C96" s="210" t="s">
        <v>68</v>
      </c>
      <c r="D96" s="211"/>
      <c r="E96" s="211"/>
      <c r="F96" s="206" t="s">
        <v>69</v>
      </c>
      <c r="G96" s="206"/>
      <c r="H96" s="206"/>
      <c r="I96" s="206"/>
      <c r="J96" s="289">
        <v>20</v>
      </c>
      <c r="K96" s="290"/>
      <c r="L96" s="290"/>
      <c r="M96" s="206" t="s">
        <v>101</v>
      </c>
      <c r="N96" s="206"/>
      <c r="O96" s="206"/>
      <c r="P96" s="206"/>
      <c r="Q96" s="206"/>
      <c r="R96" s="206"/>
      <c r="S96" s="206"/>
      <c r="T96" s="206"/>
      <c r="U96" s="206"/>
      <c r="V96" s="206"/>
      <c r="W96" s="206"/>
      <c r="X96" s="206"/>
      <c r="Y96" s="206"/>
      <c r="Z96" s="206"/>
      <c r="AA96" s="206"/>
      <c r="AB96" s="206" t="s">
        <v>74</v>
      </c>
      <c r="AC96" s="206"/>
      <c r="AD96" s="206"/>
      <c r="AE96" s="206"/>
      <c r="AF96" s="206"/>
      <c r="AG96" s="206" t="s">
        <v>76</v>
      </c>
      <c r="AH96" s="206"/>
      <c r="AI96" s="206"/>
      <c r="AJ96" s="206"/>
      <c r="AK96" s="206" t="s">
        <v>76</v>
      </c>
      <c r="AL96" s="206"/>
      <c r="AM96" s="206"/>
      <c r="AN96" s="206"/>
      <c r="AO96" s="260" t="s">
        <v>98</v>
      </c>
      <c r="AP96" s="260"/>
      <c r="AQ96" s="260"/>
      <c r="AR96" s="260"/>
      <c r="AS96" s="260"/>
      <c r="AT96" s="206" t="s">
        <v>100</v>
      </c>
      <c r="AU96" s="206"/>
      <c r="AV96" s="206"/>
      <c r="AW96" s="206"/>
      <c r="AX96" s="206" t="s">
        <v>143</v>
      </c>
      <c r="AY96" s="206"/>
      <c r="AZ96" s="206"/>
      <c r="BA96" s="206"/>
      <c r="BB96" s="210" t="s">
        <v>68</v>
      </c>
      <c r="BC96" s="211"/>
      <c r="BD96" s="211"/>
      <c r="BE96" s="206" t="s">
        <v>77</v>
      </c>
      <c r="BF96" s="206"/>
      <c r="BG96" s="206"/>
      <c r="BH96" s="206"/>
      <c r="BI96" s="206" t="s">
        <v>144</v>
      </c>
      <c r="BJ96" s="206"/>
      <c r="BK96" s="206"/>
      <c r="BL96" s="206"/>
      <c r="BM96" s="206"/>
      <c r="BN96" s="206"/>
      <c r="BO96" s="206"/>
      <c r="BP96" s="206"/>
      <c r="BQ96" s="206"/>
      <c r="BR96" s="206"/>
      <c r="BS96" s="206"/>
      <c r="BT96" s="206"/>
      <c r="BU96" s="206"/>
      <c r="BV96" s="206"/>
      <c r="BW96" s="206"/>
    </row>
    <row r="97" spans="2:75" ht="20" customHeight="1">
      <c r="B97" s="89">
        <v>2</v>
      </c>
      <c r="C97" s="283" t="s">
        <v>68</v>
      </c>
      <c r="D97" s="284"/>
      <c r="E97" s="284"/>
      <c r="F97" s="239" t="s">
        <v>77</v>
      </c>
      <c r="G97" s="239"/>
      <c r="H97" s="239"/>
      <c r="I97" s="239"/>
      <c r="J97" s="287">
        <v>20</v>
      </c>
      <c r="K97" s="288"/>
      <c r="L97" s="288"/>
      <c r="M97" s="239" t="s">
        <v>144</v>
      </c>
      <c r="N97" s="239"/>
      <c r="O97" s="239"/>
      <c r="P97" s="239"/>
      <c r="Q97" s="239"/>
      <c r="R97" s="239"/>
      <c r="S97" s="239"/>
      <c r="T97" s="239"/>
      <c r="U97" s="239"/>
      <c r="V97" s="239"/>
      <c r="W97" s="239"/>
      <c r="X97" s="239"/>
      <c r="Y97" s="239"/>
      <c r="Z97" s="239"/>
      <c r="AA97" s="239"/>
      <c r="AB97" s="239" t="s">
        <v>98</v>
      </c>
      <c r="AC97" s="239"/>
      <c r="AD97" s="239"/>
      <c r="AE97" s="239"/>
      <c r="AF97" s="239"/>
      <c r="AG97" s="239" t="s">
        <v>100</v>
      </c>
      <c r="AH97" s="239"/>
      <c r="AI97" s="239"/>
      <c r="AJ97" s="239"/>
      <c r="AK97" s="239" t="s">
        <v>143</v>
      </c>
      <c r="AL97" s="239"/>
      <c r="AM97" s="239"/>
      <c r="AN97" s="239"/>
      <c r="AO97" s="239" t="s">
        <v>98</v>
      </c>
      <c r="AP97" s="239"/>
      <c r="AQ97" s="239"/>
      <c r="AR97" s="239"/>
      <c r="AS97" s="239"/>
      <c r="AT97" s="206" t="s">
        <v>100</v>
      </c>
      <c r="AU97" s="206"/>
      <c r="AV97" s="206"/>
      <c r="AW97" s="206"/>
      <c r="AX97" s="206" t="s">
        <v>143</v>
      </c>
      <c r="AY97" s="206"/>
      <c r="AZ97" s="206"/>
      <c r="BA97" s="206"/>
      <c r="BB97" s="283" t="s">
        <v>68</v>
      </c>
      <c r="BC97" s="284"/>
      <c r="BD97" s="284"/>
      <c r="BE97" s="239" t="s">
        <v>77</v>
      </c>
      <c r="BF97" s="239"/>
      <c r="BG97" s="239"/>
      <c r="BH97" s="239"/>
      <c r="BI97" s="239" t="s">
        <v>1037</v>
      </c>
      <c r="BJ97" s="239"/>
      <c r="BK97" s="239"/>
      <c r="BL97" s="239"/>
      <c r="BM97" s="239"/>
      <c r="BN97" s="239"/>
      <c r="BO97" s="239"/>
      <c r="BP97" s="239"/>
      <c r="BQ97" s="239"/>
      <c r="BR97" s="239"/>
      <c r="BS97" s="239"/>
      <c r="BT97" s="239"/>
      <c r="BU97" s="239"/>
      <c r="BV97" s="239"/>
      <c r="BW97" s="239"/>
    </row>
    <row r="98" spans="2:75" ht="17" customHeight="1">
      <c r="B98" s="91"/>
      <c r="C98" s="295"/>
      <c r="D98" s="296"/>
      <c r="E98" s="296"/>
      <c r="F98" s="227"/>
      <c r="G98" s="227"/>
      <c r="H98" s="227"/>
      <c r="I98" s="227"/>
      <c r="J98" s="285"/>
      <c r="K98" s="286"/>
      <c r="L98" s="286"/>
      <c r="M98" s="227"/>
      <c r="N98" s="227"/>
      <c r="O98" s="227"/>
      <c r="P98" s="227"/>
      <c r="Q98" s="227"/>
      <c r="R98" s="227"/>
      <c r="S98" s="227"/>
      <c r="T98" s="227"/>
      <c r="U98" s="227"/>
      <c r="V98" s="227"/>
      <c r="W98" s="227"/>
      <c r="X98" s="227"/>
      <c r="Y98" s="227"/>
      <c r="Z98" s="227"/>
      <c r="AA98" s="227"/>
      <c r="AB98" s="227"/>
      <c r="AC98" s="227"/>
      <c r="AD98" s="227"/>
      <c r="AE98" s="227"/>
      <c r="AF98" s="227"/>
      <c r="AG98" s="227"/>
      <c r="AH98" s="227"/>
      <c r="AI98" s="227"/>
      <c r="AJ98" s="227"/>
      <c r="AK98" s="227"/>
      <c r="AL98" s="227"/>
      <c r="AM98" s="227"/>
      <c r="AN98" s="227"/>
      <c r="AO98" s="227"/>
      <c r="AP98" s="227"/>
      <c r="AQ98" s="227"/>
      <c r="AR98" s="227"/>
      <c r="AS98" s="227"/>
      <c r="AT98" s="260" t="s">
        <v>76</v>
      </c>
      <c r="AU98" s="260"/>
      <c r="AV98" s="260"/>
      <c r="AW98" s="260"/>
      <c r="AX98" s="260" t="s">
        <v>1035</v>
      </c>
      <c r="AY98" s="260"/>
      <c r="AZ98" s="260"/>
      <c r="BA98" s="260"/>
      <c r="BB98" s="295"/>
      <c r="BC98" s="296"/>
      <c r="BD98" s="296"/>
      <c r="BE98" s="227"/>
      <c r="BF98" s="227"/>
      <c r="BG98" s="227"/>
      <c r="BH98" s="227"/>
      <c r="BI98" s="227"/>
      <c r="BJ98" s="227"/>
      <c r="BK98" s="227"/>
      <c r="BL98" s="227"/>
      <c r="BM98" s="227"/>
      <c r="BN98" s="227"/>
      <c r="BO98" s="227"/>
      <c r="BP98" s="227"/>
      <c r="BQ98" s="227"/>
      <c r="BR98" s="227"/>
      <c r="BS98" s="227"/>
      <c r="BT98" s="227"/>
      <c r="BU98" s="227"/>
      <c r="BV98" s="227"/>
      <c r="BW98" s="227"/>
    </row>
    <row r="99" spans="2:75" ht="17" customHeight="1">
      <c r="B99" s="90"/>
      <c r="C99" s="291"/>
      <c r="D99" s="292"/>
      <c r="E99" s="292"/>
      <c r="F99" s="240"/>
      <c r="G99" s="240"/>
      <c r="H99" s="240"/>
      <c r="I99" s="240"/>
      <c r="J99" s="293"/>
      <c r="K99" s="294"/>
      <c r="L99" s="294"/>
      <c r="M99" s="240"/>
      <c r="N99" s="240"/>
      <c r="O99" s="240"/>
      <c r="P99" s="240"/>
      <c r="Q99" s="240"/>
      <c r="R99" s="240"/>
      <c r="S99" s="240"/>
      <c r="T99" s="240"/>
      <c r="U99" s="240"/>
      <c r="V99" s="240"/>
      <c r="W99" s="240"/>
      <c r="X99" s="240"/>
      <c r="Y99" s="240"/>
      <c r="Z99" s="240"/>
      <c r="AA99" s="240"/>
      <c r="AB99" s="240"/>
      <c r="AC99" s="240"/>
      <c r="AD99" s="240"/>
      <c r="AE99" s="240"/>
      <c r="AF99" s="240"/>
      <c r="AG99" s="240"/>
      <c r="AH99" s="240"/>
      <c r="AI99" s="240"/>
      <c r="AJ99" s="240"/>
      <c r="AK99" s="240"/>
      <c r="AL99" s="240"/>
      <c r="AM99" s="240"/>
      <c r="AN99" s="240"/>
      <c r="AO99" s="240"/>
      <c r="AP99" s="240"/>
      <c r="AQ99" s="240"/>
      <c r="AR99" s="240"/>
      <c r="AS99" s="240"/>
      <c r="AT99" s="260" t="s">
        <v>82</v>
      </c>
      <c r="AU99" s="260"/>
      <c r="AV99" s="260"/>
      <c r="AW99" s="260"/>
      <c r="AX99" s="260" t="s">
        <v>1036</v>
      </c>
      <c r="AY99" s="260"/>
      <c r="AZ99" s="260"/>
      <c r="BA99" s="260"/>
      <c r="BB99" s="291"/>
      <c r="BC99" s="292"/>
      <c r="BD99" s="292"/>
      <c r="BE99" s="240"/>
      <c r="BF99" s="240"/>
      <c r="BG99" s="240"/>
      <c r="BH99" s="240"/>
      <c r="BI99" s="240"/>
      <c r="BJ99" s="240"/>
      <c r="BK99" s="240"/>
      <c r="BL99" s="240"/>
      <c r="BM99" s="240"/>
      <c r="BN99" s="240"/>
      <c r="BO99" s="240"/>
      <c r="BP99" s="240"/>
      <c r="BQ99" s="240"/>
      <c r="BR99" s="240"/>
      <c r="BS99" s="240"/>
      <c r="BT99" s="240"/>
      <c r="BU99" s="240"/>
      <c r="BV99" s="240"/>
      <c r="BW99" s="240"/>
    </row>
    <row r="100" spans="2:75" ht="20" customHeight="1">
      <c r="B100" s="89">
        <v>3</v>
      </c>
      <c r="C100" s="283" t="s">
        <v>68</v>
      </c>
      <c r="D100" s="284"/>
      <c r="E100" s="284"/>
      <c r="F100" s="239" t="s">
        <v>149</v>
      </c>
      <c r="G100" s="239"/>
      <c r="H100" s="239"/>
      <c r="I100" s="239"/>
      <c r="J100" s="287">
        <v>20</v>
      </c>
      <c r="K100" s="288"/>
      <c r="L100" s="288"/>
      <c r="M100" s="239" t="s">
        <v>1037</v>
      </c>
      <c r="N100" s="239"/>
      <c r="O100" s="239"/>
      <c r="P100" s="239"/>
      <c r="Q100" s="239"/>
      <c r="R100" s="239"/>
      <c r="S100" s="239"/>
      <c r="T100" s="239"/>
      <c r="U100" s="239"/>
      <c r="V100" s="239"/>
      <c r="W100" s="239"/>
      <c r="X100" s="239"/>
      <c r="Y100" s="239"/>
      <c r="Z100" s="239"/>
      <c r="AA100" s="239"/>
      <c r="AB100" s="239" t="s">
        <v>98</v>
      </c>
      <c r="AC100" s="239"/>
      <c r="AD100" s="239"/>
      <c r="AE100" s="239"/>
      <c r="AF100" s="239"/>
      <c r="AG100" s="206" t="s">
        <v>100</v>
      </c>
      <c r="AH100" s="206"/>
      <c r="AI100" s="206"/>
      <c r="AJ100" s="206"/>
      <c r="AK100" s="206" t="s">
        <v>143</v>
      </c>
      <c r="AL100" s="206"/>
      <c r="AM100" s="206"/>
      <c r="AN100" s="206"/>
      <c r="AO100" s="239" t="s">
        <v>98</v>
      </c>
      <c r="AP100" s="239"/>
      <c r="AQ100" s="239"/>
      <c r="AR100" s="239"/>
      <c r="AS100" s="239"/>
      <c r="AT100" s="206" t="s">
        <v>100</v>
      </c>
      <c r="AU100" s="206"/>
      <c r="AV100" s="206"/>
      <c r="AW100" s="206"/>
      <c r="AX100" s="206" t="s">
        <v>143</v>
      </c>
      <c r="AY100" s="206"/>
      <c r="AZ100" s="206"/>
      <c r="BA100" s="206"/>
      <c r="BB100" s="283" t="s">
        <v>68</v>
      </c>
      <c r="BC100" s="284"/>
      <c r="BD100" s="284"/>
      <c r="BE100" s="239" t="s">
        <v>77</v>
      </c>
      <c r="BF100" s="239"/>
      <c r="BG100" s="239"/>
      <c r="BH100" s="239"/>
      <c r="BI100" s="239" t="s">
        <v>1042</v>
      </c>
      <c r="BJ100" s="239"/>
      <c r="BK100" s="239"/>
      <c r="BL100" s="239"/>
      <c r="BM100" s="239"/>
      <c r="BN100" s="239"/>
      <c r="BO100" s="239"/>
      <c r="BP100" s="239"/>
      <c r="BQ100" s="239"/>
      <c r="BR100" s="239"/>
      <c r="BS100" s="239"/>
      <c r="BT100" s="239"/>
      <c r="BU100" s="239"/>
      <c r="BV100" s="239"/>
      <c r="BW100" s="239"/>
    </row>
    <row r="101" spans="2:75" ht="17" customHeight="1">
      <c r="B101" s="91"/>
      <c r="C101" s="295"/>
      <c r="D101" s="296"/>
      <c r="E101" s="296"/>
      <c r="F101" s="227"/>
      <c r="G101" s="227"/>
      <c r="H101" s="227"/>
      <c r="I101" s="227"/>
      <c r="J101" s="285"/>
      <c r="K101" s="286"/>
      <c r="L101" s="286"/>
      <c r="M101" s="227"/>
      <c r="N101" s="227"/>
      <c r="O101" s="227"/>
      <c r="P101" s="227"/>
      <c r="Q101" s="227"/>
      <c r="R101" s="227"/>
      <c r="S101" s="227"/>
      <c r="T101" s="227"/>
      <c r="U101" s="227"/>
      <c r="V101" s="227"/>
      <c r="W101" s="227"/>
      <c r="X101" s="227"/>
      <c r="Y101" s="227"/>
      <c r="Z101" s="227"/>
      <c r="AA101" s="227"/>
      <c r="AB101" s="227"/>
      <c r="AC101" s="227"/>
      <c r="AD101" s="227"/>
      <c r="AE101" s="227"/>
      <c r="AF101" s="227"/>
      <c r="AG101" s="206" t="s">
        <v>76</v>
      </c>
      <c r="AH101" s="206"/>
      <c r="AI101" s="206"/>
      <c r="AJ101" s="206"/>
      <c r="AK101" s="206" t="s">
        <v>147</v>
      </c>
      <c r="AL101" s="206"/>
      <c r="AM101" s="206"/>
      <c r="AN101" s="206"/>
      <c r="AO101" s="227"/>
      <c r="AP101" s="227"/>
      <c r="AQ101" s="227"/>
      <c r="AR101" s="227"/>
      <c r="AS101" s="227"/>
      <c r="AT101" s="263" t="s">
        <v>150</v>
      </c>
      <c r="AU101" s="264"/>
      <c r="AV101" s="264"/>
      <c r="AW101" s="264"/>
      <c r="AX101" s="264"/>
      <c r="AY101" s="264"/>
      <c r="AZ101" s="264"/>
      <c r="BA101" s="265"/>
      <c r="BB101" s="295"/>
      <c r="BC101" s="296"/>
      <c r="BD101" s="296"/>
      <c r="BE101" s="227"/>
      <c r="BF101" s="227"/>
      <c r="BG101" s="227"/>
      <c r="BH101" s="227"/>
      <c r="BI101" s="227"/>
      <c r="BJ101" s="227"/>
      <c r="BK101" s="227"/>
      <c r="BL101" s="227"/>
      <c r="BM101" s="227"/>
      <c r="BN101" s="227"/>
      <c r="BO101" s="227"/>
      <c r="BP101" s="227"/>
      <c r="BQ101" s="227"/>
      <c r="BR101" s="227"/>
      <c r="BS101" s="227"/>
      <c r="BT101" s="227"/>
      <c r="BU101" s="227"/>
      <c r="BV101" s="227"/>
      <c r="BW101" s="227"/>
    </row>
    <row r="102" spans="2:75" ht="17" customHeight="1">
      <c r="B102" s="90"/>
      <c r="C102" s="291"/>
      <c r="D102" s="292"/>
      <c r="E102" s="292"/>
      <c r="F102" s="240"/>
      <c r="G102" s="240"/>
      <c r="H102" s="240"/>
      <c r="I102" s="240"/>
      <c r="J102" s="293"/>
      <c r="K102" s="294"/>
      <c r="L102" s="294"/>
      <c r="M102" s="240"/>
      <c r="N102" s="240"/>
      <c r="O102" s="240"/>
      <c r="P102" s="240"/>
      <c r="Q102" s="240"/>
      <c r="R102" s="240"/>
      <c r="S102" s="240"/>
      <c r="T102" s="240"/>
      <c r="U102" s="240"/>
      <c r="V102" s="240"/>
      <c r="W102" s="240"/>
      <c r="X102" s="240"/>
      <c r="Y102" s="240"/>
      <c r="Z102" s="240"/>
      <c r="AA102" s="240"/>
      <c r="AB102" s="240"/>
      <c r="AC102" s="240"/>
      <c r="AD102" s="240"/>
      <c r="AE102" s="240"/>
      <c r="AF102" s="240"/>
      <c r="AG102" s="206" t="s">
        <v>82</v>
      </c>
      <c r="AH102" s="206"/>
      <c r="AI102" s="206"/>
      <c r="AJ102" s="206"/>
      <c r="AK102" s="206" t="s">
        <v>148</v>
      </c>
      <c r="AL102" s="206"/>
      <c r="AM102" s="206"/>
      <c r="AN102" s="206"/>
      <c r="AO102" s="240"/>
      <c r="AP102" s="240"/>
      <c r="AQ102" s="240"/>
      <c r="AR102" s="240"/>
      <c r="AS102" s="240"/>
      <c r="AT102" s="206" t="s">
        <v>82</v>
      </c>
      <c r="AU102" s="206"/>
      <c r="AV102" s="206"/>
      <c r="AW102" s="206"/>
      <c r="AX102" s="206" t="s">
        <v>148</v>
      </c>
      <c r="AY102" s="206"/>
      <c r="AZ102" s="206"/>
      <c r="BA102" s="206"/>
      <c r="BB102" s="291"/>
      <c r="BC102" s="292"/>
      <c r="BD102" s="292"/>
      <c r="BE102" s="240"/>
      <c r="BF102" s="240"/>
      <c r="BG102" s="240"/>
      <c r="BH102" s="240"/>
      <c r="BI102" s="240"/>
      <c r="BJ102" s="240"/>
      <c r="BK102" s="240"/>
      <c r="BL102" s="240"/>
      <c r="BM102" s="240"/>
      <c r="BN102" s="240"/>
      <c r="BO102" s="240"/>
      <c r="BP102" s="240"/>
      <c r="BQ102" s="240"/>
      <c r="BR102" s="240"/>
      <c r="BS102" s="240"/>
      <c r="BT102" s="240"/>
      <c r="BU102" s="240"/>
      <c r="BV102" s="240"/>
      <c r="BW102" s="240"/>
    </row>
    <row r="103" spans="2:75" ht="20" customHeight="1">
      <c r="B103" s="89">
        <v>4</v>
      </c>
      <c r="C103" s="283" t="s">
        <v>68</v>
      </c>
      <c r="D103" s="284"/>
      <c r="E103" s="284"/>
      <c r="F103" s="239" t="s">
        <v>149</v>
      </c>
      <c r="G103" s="239"/>
      <c r="H103" s="239"/>
      <c r="I103" s="239"/>
      <c r="J103" s="287">
        <v>20</v>
      </c>
      <c r="K103" s="288"/>
      <c r="L103" s="288"/>
      <c r="M103" s="239" t="s">
        <v>1044</v>
      </c>
      <c r="N103" s="239"/>
      <c r="O103" s="239"/>
      <c r="P103" s="239"/>
      <c r="Q103" s="239"/>
      <c r="R103" s="239"/>
      <c r="S103" s="239"/>
      <c r="T103" s="239"/>
      <c r="U103" s="239"/>
      <c r="V103" s="239"/>
      <c r="W103" s="239"/>
      <c r="X103" s="239"/>
      <c r="Y103" s="239"/>
      <c r="Z103" s="239"/>
      <c r="AA103" s="239"/>
      <c r="AB103" s="239" t="s">
        <v>78</v>
      </c>
      <c r="AC103" s="239"/>
      <c r="AD103" s="239"/>
      <c r="AE103" s="239"/>
      <c r="AF103" s="239"/>
      <c r="AG103" s="206" t="s">
        <v>100</v>
      </c>
      <c r="AH103" s="206"/>
      <c r="AI103" s="206"/>
      <c r="AJ103" s="206"/>
      <c r="AK103" s="206" t="s">
        <v>81</v>
      </c>
      <c r="AL103" s="206"/>
      <c r="AM103" s="206"/>
      <c r="AN103" s="206"/>
      <c r="AO103" s="239" t="s">
        <v>78</v>
      </c>
      <c r="AP103" s="239"/>
      <c r="AQ103" s="239"/>
      <c r="AR103" s="239"/>
      <c r="AS103" s="239"/>
      <c r="AT103" s="206" t="s">
        <v>100</v>
      </c>
      <c r="AU103" s="206"/>
      <c r="AV103" s="206"/>
      <c r="AW103" s="206"/>
      <c r="AX103" s="206" t="s">
        <v>81</v>
      </c>
      <c r="AY103" s="206"/>
      <c r="AZ103" s="206"/>
      <c r="BA103" s="206"/>
      <c r="BB103" s="283" t="s">
        <v>68</v>
      </c>
      <c r="BC103" s="284"/>
      <c r="BD103" s="284"/>
      <c r="BE103" s="239" t="s">
        <v>77</v>
      </c>
      <c r="BF103" s="239"/>
      <c r="BG103" s="239"/>
      <c r="BH103" s="239"/>
      <c r="BI103" s="239" t="s">
        <v>1041</v>
      </c>
      <c r="BJ103" s="239"/>
      <c r="BK103" s="239"/>
      <c r="BL103" s="239"/>
      <c r="BM103" s="239"/>
      <c r="BN103" s="239"/>
      <c r="BO103" s="239"/>
      <c r="BP103" s="239"/>
      <c r="BQ103" s="239"/>
      <c r="BR103" s="239"/>
      <c r="BS103" s="239"/>
      <c r="BT103" s="239"/>
      <c r="BU103" s="239"/>
      <c r="BV103" s="239"/>
      <c r="BW103" s="239"/>
    </row>
    <row r="104" spans="2:75" ht="17" customHeight="1">
      <c r="B104" s="91"/>
      <c r="C104" s="295"/>
      <c r="D104" s="296"/>
      <c r="E104" s="296"/>
      <c r="F104" s="227"/>
      <c r="G104" s="227"/>
      <c r="H104" s="227"/>
      <c r="I104" s="227"/>
      <c r="J104" s="285"/>
      <c r="K104" s="286"/>
      <c r="L104" s="286"/>
      <c r="M104" s="227"/>
      <c r="N104" s="227"/>
      <c r="O104" s="227"/>
      <c r="P104" s="227"/>
      <c r="Q104" s="227"/>
      <c r="R104" s="227"/>
      <c r="S104" s="227"/>
      <c r="T104" s="227"/>
      <c r="U104" s="227"/>
      <c r="V104" s="227"/>
      <c r="W104" s="227"/>
      <c r="X104" s="227"/>
      <c r="Y104" s="227"/>
      <c r="Z104" s="227"/>
      <c r="AA104" s="227"/>
      <c r="AB104" s="227"/>
      <c r="AC104" s="227"/>
      <c r="AD104" s="227"/>
      <c r="AE104" s="227"/>
      <c r="AF104" s="227"/>
      <c r="AG104" s="206" t="s">
        <v>82</v>
      </c>
      <c r="AH104" s="206"/>
      <c r="AI104" s="206"/>
      <c r="AJ104" s="206"/>
      <c r="AK104" s="206" t="s">
        <v>1045</v>
      </c>
      <c r="AL104" s="206"/>
      <c r="AM104" s="206"/>
      <c r="AN104" s="206"/>
      <c r="AO104" s="227"/>
      <c r="AP104" s="227"/>
      <c r="AQ104" s="227"/>
      <c r="AR104" s="227"/>
      <c r="AS104" s="227"/>
      <c r="AT104" s="206" t="s">
        <v>82</v>
      </c>
      <c r="AU104" s="206"/>
      <c r="AV104" s="206"/>
      <c r="AW104" s="206"/>
      <c r="AX104" s="206" t="s">
        <v>148</v>
      </c>
      <c r="AY104" s="206"/>
      <c r="AZ104" s="206"/>
      <c r="BA104" s="206"/>
      <c r="BB104" s="295"/>
      <c r="BC104" s="296"/>
      <c r="BD104" s="296"/>
      <c r="BE104" s="227"/>
      <c r="BF104" s="227"/>
      <c r="BG104" s="227"/>
      <c r="BH104" s="227"/>
      <c r="BI104" s="227"/>
      <c r="BJ104" s="227"/>
      <c r="BK104" s="227"/>
      <c r="BL104" s="227"/>
      <c r="BM104" s="227"/>
      <c r="BN104" s="227"/>
      <c r="BO104" s="227"/>
      <c r="BP104" s="227"/>
      <c r="BQ104" s="227"/>
      <c r="BR104" s="227"/>
      <c r="BS104" s="227"/>
      <c r="BT104" s="227"/>
      <c r="BU104" s="227"/>
      <c r="BV104" s="227"/>
      <c r="BW104" s="227"/>
    </row>
    <row r="105" spans="2:75" ht="17" customHeight="1">
      <c r="B105" s="91"/>
      <c r="C105" s="295"/>
      <c r="D105" s="296"/>
      <c r="E105" s="296"/>
      <c r="F105" s="227"/>
      <c r="G105" s="227"/>
      <c r="H105" s="227"/>
      <c r="I105" s="227"/>
      <c r="J105" s="285"/>
      <c r="K105" s="286"/>
      <c r="L105" s="286"/>
      <c r="M105" s="227"/>
      <c r="N105" s="227"/>
      <c r="O105" s="227"/>
      <c r="P105" s="227"/>
      <c r="Q105" s="227"/>
      <c r="R105" s="227"/>
      <c r="S105" s="227"/>
      <c r="T105" s="227"/>
      <c r="U105" s="227"/>
      <c r="V105" s="227"/>
      <c r="W105" s="227"/>
      <c r="X105" s="227"/>
      <c r="Y105" s="227"/>
      <c r="Z105" s="227"/>
      <c r="AA105" s="227"/>
      <c r="AB105" s="227"/>
      <c r="AC105" s="227"/>
      <c r="AD105" s="227"/>
      <c r="AE105" s="227"/>
      <c r="AF105" s="227"/>
      <c r="AG105" s="227"/>
      <c r="AH105" s="227"/>
      <c r="AI105" s="227"/>
      <c r="AJ105" s="227"/>
      <c r="AK105" s="227"/>
      <c r="AL105" s="227"/>
      <c r="AM105" s="227"/>
      <c r="AN105" s="227"/>
      <c r="AO105" s="227"/>
      <c r="AP105" s="227"/>
      <c r="AQ105" s="227"/>
      <c r="AR105" s="227"/>
      <c r="AS105" s="227"/>
      <c r="AT105" s="260" t="s">
        <v>76</v>
      </c>
      <c r="AU105" s="260"/>
      <c r="AV105" s="260"/>
      <c r="AW105" s="260"/>
      <c r="AX105" s="260" t="s">
        <v>76</v>
      </c>
      <c r="AY105" s="260"/>
      <c r="AZ105" s="260"/>
      <c r="BA105" s="260"/>
      <c r="BB105" s="295"/>
      <c r="BC105" s="296"/>
      <c r="BD105" s="296"/>
      <c r="BE105" s="227"/>
      <c r="BF105" s="227"/>
      <c r="BG105" s="227"/>
      <c r="BH105" s="227"/>
      <c r="BI105" s="227"/>
      <c r="BJ105" s="227"/>
      <c r="BK105" s="227"/>
      <c r="BL105" s="227"/>
      <c r="BM105" s="227"/>
      <c r="BN105" s="227"/>
      <c r="BO105" s="227"/>
      <c r="BP105" s="227"/>
      <c r="BQ105" s="227"/>
      <c r="BR105" s="227"/>
      <c r="BS105" s="227"/>
      <c r="BT105" s="227"/>
      <c r="BU105" s="227"/>
      <c r="BV105" s="227"/>
      <c r="BW105" s="227"/>
    </row>
    <row r="106" spans="2:75" ht="17" customHeight="1">
      <c r="B106" s="91"/>
      <c r="C106" s="295"/>
      <c r="D106" s="296"/>
      <c r="E106" s="296"/>
      <c r="F106" s="227"/>
      <c r="G106" s="227"/>
      <c r="H106" s="227"/>
      <c r="I106" s="227"/>
      <c r="J106" s="285"/>
      <c r="K106" s="286"/>
      <c r="L106" s="286"/>
      <c r="M106" s="227"/>
      <c r="N106" s="227"/>
      <c r="O106" s="227"/>
      <c r="P106" s="227"/>
      <c r="Q106" s="227"/>
      <c r="R106" s="227"/>
      <c r="S106" s="227"/>
      <c r="T106" s="227"/>
      <c r="U106" s="227"/>
      <c r="V106" s="227"/>
      <c r="W106" s="227"/>
      <c r="X106" s="227"/>
      <c r="Y106" s="227"/>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60" t="s">
        <v>152</v>
      </c>
      <c r="AU106" s="260"/>
      <c r="AV106" s="260"/>
      <c r="AW106" s="260"/>
      <c r="AX106" s="260" t="s">
        <v>1046</v>
      </c>
      <c r="AY106" s="260"/>
      <c r="AZ106" s="260"/>
      <c r="BA106" s="260"/>
      <c r="BB106" s="295"/>
      <c r="BC106" s="296"/>
      <c r="BD106" s="296"/>
      <c r="BE106" s="227"/>
      <c r="BF106" s="227"/>
      <c r="BG106" s="227"/>
      <c r="BH106" s="227"/>
      <c r="BI106" s="227"/>
      <c r="BJ106" s="227"/>
      <c r="BK106" s="227"/>
      <c r="BL106" s="227"/>
      <c r="BM106" s="227"/>
      <c r="BN106" s="227"/>
      <c r="BO106" s="227"/>
      <c r="BP106" s="227"/>
      <c r="BQ106" s="227"/>
      <c r="BR106" s="227"/>
      <c r="BS106" s="227"/>
      <c r="BT106" s="227"/>
      <c r="BU106" s="227"/>
      <c r="BV106" s="227"/>
      <c r="BW106" s="227"/>
    </row>
    <row r="107" spans="2:75" ht="17" customHeight="1">
      <c r="B107" s="91"/>
      <c r="C107" s="295"/>
      <c r="D107" s="296"/>
      <c r="E107" s="296"/>
      <c r="F107" s="227"/>
      <c r="G107" s="227"/>
      <c r="H107" s="227"/>
      <c r="I107" s="227"/>
      <c r="J107" s="285"/>
      <c r="K107" s="286"/>
      <c r="L107" s="286"/>
      <c r="M107" s="227"/>
      <c r="N107" s="227"/>
      <c r="O107" s="227"/>
      <c r="P107" s="227"/>
      <c r="Q107" s="227"/>
      <c r="R107" s="227"/>
      <c r="S107" s="227"/>
      <c r="T107" s="227"/>
      <c r="U107" s="227"/>
      <c r="V107" s="227"/>
      <c r="W107" s="227"/>
      <c r="X107" s="227"/>
      <c r="Y107" s="227"/>
      <c r="Z107" s="227"/>
      <c r="AA107" s="227"/>
      <c r="AB107" s="227"/>
      <c r="AC107" s="227"/>
      <c r="AD107" s="227"/>
      <c r="AE107" s="227"/>
      <c r="AF107" s="227"/>
      <c r="AG107" s="227"/>
      <c r="AH107" s="227"/>
      <c r="AI107" s="227"/>
      <c r="AJ107" s="227"/>
      <c r="AK107" s="227"/>
      <c r="AL107" s="227"/>
      <c r="AM107" s="227"/>
      <c r="AN107" s="227"/>
      <c r="AO107" s="227"/>
      <c r="AP107" s="227"/>
      <c r="AQ107" s="227"/>
      <c r="AR107" s="227"/>
      <c r="AS107" s="227"/>
      <c r="AT107" s="263" t="s">
        <v>609</v>
      </c>
      <c r="AU107" s="264"/>
      <c r="AV107" s="264"/>
      <c r="AW107" s="264"/>
      <c r="AX107" s="264"/>
      <c r="AY107" s="264"/>
      <c r="AZ107" s="264"/>
      <c r="BA107" s="265"/>
      <c r="BB107" s="295"/>
      <c r="BC107" s="296"/>
      <c r="BD107" s="296"/>
      <c r="BE107" s="227"/>
      <c r="BF107" s="227"/>
      <c r="BG107" s="227"/>
      <c r="BH107" s="227"/>
      <c r="BI107" s="227"/>
      <c r="BJ107" s="227"/>
      <c r="BK107" s="227"/>
      <c r="BL107" s="227"/>
      <c r="BM107" s="227"/>
      <c r="BN107" s="227"/>
      <c r="BO107" s="227"/>
      <c r="BP107" s="227"/>
      <c r="BQ107" s="227"/>
      <c r="BR107" s="227"/>
      <c r="BS107" s="227"/>
      <c r="BT107" s="227"/>
      <c r="BU107" s="227"/>
      <c r="BV107" s="227"/>
      <c r="BW107" s="227"/>
    </row>
    <row r="108" spans="2:75" ht="30.5" customHeight="1">
      <c r="B108" s="91"/>
      <c r="C108" s="295"/>
      <c r="D108" s="296"/>
      <c r="E108" s="296"/>
      <c r="F108" s="227"/>
      <c r="G108" s="227"/>
      <c r="H108" s="227"/>
      <c r="I108" s="227"/>
      <c r="J108" s="285"/>
      <c r="K108" s="286"/>
      <c r="L108" s="286"/>
      <c r="M108" s="227"/>
      <c r="N108" s="227"/>
      <c r="O108" s="227"/>
      <c r="P108" s="227"/>
      <c r="Q108" s="227"/>
      <c r="R108" s="227"/>
      <c r="S108" s="227"/>
      <c r="T108" s="227"/>
      <c r="U108" s="227"/>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c r="AS108" s="227"/>
      <c r="AT108" s="298" t="s">
        <v>610</v>
      </c>
      <c r="AU108" s="299"/>
      <c r="AV108" s="299"/>
      <c r="AW108" s="299"/>
      <c r="AX108" s="299"/>
      <c r="AY108" s="299"/>
      <c r="AZ108" s="299"/>
      <c r="BA108" s="300"/>
      <c r="BB108" s="295"/>
      <c r="BC108" s="296"/>
      <c r="BD108" s="296"/>
      <c r="BE108" s="227"/>
      <c r="BF108" s="227"/>
      <c r="BG108" s="227"/>
      <c r="BH108" s="227"/>
      <c r="BI108" s="227"/>
      <c r="BJ108" s="227"/>
      <c r="BK108" s="227"/>
      <c r="BL108" s="227"/>
      <c r="BM108" s="227"/>
      <c r="BN108" s="227"/>
      <c r="BO108" s="227"/>
      <c r="BP108" s="227"/>
      <c r="BQ108" s="227"/>
      <c r="BR108" s="227"/>
      <c r="BS108" s="227"/>
      <c r="BT108" s="227"/>
      <c r="BU108" s="227"/>
      <c r="BV108" s="227"/>
      <c r="BW108" s="227"/>
    </row>
    <row r="109" spans="2:75" ht="20" customHeight="1">
      <c r="B109" s="89">
        <v>5</v>
      </c>
      <c r="C109" s="283" t="s">
        <v>68</v>
      </c>
      <c r="D109" s="284"/>
      <c r="E109" s="284"/>
      <c r="F109" s="239" t="s">
        <v>149</v>
      </c>
      <c r="G109" s="239"/>
      <c r="H109" s="239"/>
      <c r="I109" s="239"/>
      <c r="J109" s="287">
        <v>20</v>
      </c>
      <c r="K109" s="288"/>
      <c r="L109" s="288"/>
      <c r="M109" s="239" t="s">
        <v>1044</v>
      </c>
      <c r="N109" s="239"/>
      <c r="O109" s="239"/>
      <c r="P109" s="239"/>
      <c r="Q109" s="239"/>
      <c r="R109" s="239"/>
      <c r="S109" s="239"/>
      <c r="T109" s="239"/>
      <c r="U109" s="239"/>
      <c r="V109" s="239"/>
      <c r="W109" s="239"/>
      <c r="X109" s="239"/>
      <c r="Y109" s="239"/>
      <c r="Z109" s="239"/>
      <c r="AA109" s="239"/>
      <c r="AB109" s="239" t="s">
        <v>98</v>
      </c>
      <c r="AC109" s="239"/>
      <c r="AD109" s="239"/>
      <c r="AE109" s="239"/>
      <c r="AF109" s="239"/>
      <c r="AG109" s="206" t="s">
        <v>100</v>
      </c>
      <c r="AH109" s="206"/>
      <c r="AI109" s="206"/>
      <c r="AJ109" s="206"/>
      <c r="AK109" s="206" t="s">
        <v>143</v>
      </c>
      <c r="AL109" s="206"/>
      <c r="AM109" s="206"/>
      <c r="AN109" s="206"/>
      <c r="AO109" s="239" t="s">
        <v>98</v>
      </c>
      <c r="AP109" s="239"/>
      <c r="AQ109" s="239"/>
      <c r="AR109" s="239"/>
      <c r="AS109" s="239"/>
      <c r="AT109" s="206" t="s">
        <v>100</v>
      </c>
      <c r="AU109" s="206"/>
      <c r="AV109" s="206"/>
      <c r="AW109" s="206"/>
      <c r="AX109" s="206" t="s">
        <v>143</v>
      </c>
      <c r="AY109" s="206"/>
      <c r="AZ109" s="206"/>
      <c r="BA109" s="206"/>
      <c r="BB109" s="283" t="s">
        <v>68</v>
      </c>
      <c r="BC109" s="284"/>
      <c r="BD109" s="284"/>
      <c r="BE109" s="239" t="s">
        <v>77</v>
      </c>
      <c r="BF109" s="239"/>
      <c r="BG109" s="239"/>
      <c r="BH109" s="239"/>
      <c r="BI109" s="297" t="s">
        <v>1043</v>
      </c>
      <c r="BJ109" s="297"/>
      <c r="BK109" s="297"/>
      <c r="BL109" s="297"/>
      <c r="BM109" s="297"/>
      <c r="BN109" s="297"/>
      <c r="BO109" s="297"/>
      <c r="BP109" s="297"/>
      <c r="BQ109" s="297"/>
      <c r="BR109" s="297"/>
      <c r="BS109" s="297"/>
      <c r="BT109" s="297"/>
      <c r="BU109" s="297"/>
      <c r="BV109" s="297"/>
      <c r="BW109" s="297"/>
    </row>
    <row r="110" spans="2:75" ht="17" customHeight="1">
      <c r="B110" s="91"/>
      <c r="C110" s="295"/>
      <c r="D110" s="296"/>
      <c r="E110" s="296"/>
      <c r="F110" s="227"/>
      <c r="G110" s="227"/>
      <c r="H110" s="227"/>
      <c r="I110" s="227"/>
      <c r="J110" s="285"/>
      <c r="K110" s="286"/>
      <c r="L110" s="286"/>
      <c r="M110" s="227"/>
      <c r="N110" s="227"/>
      <c r="O110" s="227"/>
      <c r="P110" s="227"/>
      <c r="Q110" s="227"/>
      <c r="R110" s="227"/>
      <c r="S110" s="227"/>
      <c r="T110" s="227"/>
      <c r="U110" s="227"/>
      <c r="V110" s="227"/>
      <c r="W110" s="227"/>
      <c r="X110" s="227"/>
      <c r="Y110" s="227"/>
      <c r="Z110" s="227"/>
      <c r="AA110" s="227"/>
      <c r="AB110" s="227"/>
      <c r="AC110" s="227"/>
      <c r="AD110" s="227"/>
      <c r="AE110" s="227"/>
      <c r="AF110" s="227"/>
      <c r="AG110" s="206" t="s">
        <v>82</v>
      </c>
      <c r="AH110" s="206"/>
      <c r="AI110" s="206"/>
      <c r="AJ110" s="206"/>
      <c r="AK110" s="206" t="s">
        <v>148</v>
      </c>
      <c r="AL110" s="206"/>
      <c r="AM110" s="206"/>
      <c r="AN110" s="206"/>
      <c r="AO110" s="227"/>
      <c r="AP110" s="227"/>
      <c r="AQ110" s="227"/>
      <c r="AR110" s="227"/>
      <c r="AS110" s="227"/>
      <c r="AT110" s="206" t="s">
        <v>82</v>
      </c>
      <c r="AU110" s="206"/>
      <c r="AV110" s="206"/>
      <c r="AW110" s="206"/>
      <c r="AX110" s="206" t="s">
        <v>148</v>
      </c>
      <c r="AY110" s="206"/>
      <c r="AZ110" s="206"/>
      <c r="BA110" s="206"/>
      <c r="BB110" s="295"/>
      <c r="BC110" s="296"/>
      <c r="BD110" s="296"/>
      <c r="BE110" s="227"/>
      <c r="BF110" s="227"/>
      <c r="BG110" s="227"/>
      <c r="BH110" s="227"/>
      <c r="BI110" s="227" t="s">
        <v>95</v>
      </c>
      <c r="BJ110" s="227"/>
      <c r="BK110" s="227"/>
      <c r="BL110" s="227"/>
      <c r="BM110" s="227"/>
      <c r="BN110" s="227"/>
      <c r="BO110" s="227"/>
      <c r="BP110" s="227"/>
      <c r="BQ110" s="227"/>
      <c r="BR110" s="227"/>
      <c r="BS110" s="227"/>
      <c r="BT110" s="227"/>
      <c r="BU110" s="227"/>
      <c r="BV110" s="227"/>
      <c r="BW110" s="227"/>
    </row>
    <row r="111" spans="2:75" ht="17" customHeight="1">
      <c r="B111" s="91"/>
      <c r="C111" s="295"/>
      <c r="D111" s="296"/>
      <c r="E111" s="296"/>
      <c r="F111" s="227"/>
      <c r="G111" s="227"/>
      <c r="H111" s="227"/>
      <c r="I111" s="227"/>
      <c r="J111" s="285"/>
      <c r="K111" s="286"/>
      <c r="L111" s="286"/>
      <c r="M111" s="227"/>
      <c r="N111" s="227"/>
      <c r="O111" s="227"/>
      <c r="P111" s="227"/>
      <c r="Q111" s="227"/>
      <c r="R111" s="227"/>
      <c r="S111" s="227"/>
      <c r="T111" s="227"/>
      <c r="U111" s="227"/>
      <c r="V111" s="227"/>
      <c r="W111" s="227"/>
      <c r="X111" s="227"/>
      <c r="Y111" s="227"/>
      <c r="Z111" s="227"/>
      <c r="AA111" s="227"/>
      <c r="AB111" s="227"/>
      <c r="AC111" s="227"/>
      <c r="AD111" s="227"/>
      <c r="AE111" s="227"/>
      <c r="AF111" s="227"/>
      <c r="AG111" s="227"/>
      <c r="AH111" s="227"/>
      <c r="AI111" s="227"/>
      <c r="AJ111" s="227"/>
      <c r="AK111" s="227"/>
      <c r="AL111" s="227"/>
      <c r="AM111" s="227"/>
      <c r="AN111" s="227"/>
      <c r="AO111" s="227"/>
      <c r="AP111" s="227"/>
      <c r="AQ111" s="227"/>
      <c r="AR111" s="227"/>
      <c r="AS111" s="227"/>
      <c r="AT111" s="260" t="s">
        <v>152</v>
      </c>
      <c r="AU111" s="260"/>
      <c r="AV111" s="260"/>
      <c r="AW111" s="260"/>
      <c r="AX111" s="260" t="s">
        <v>99</v>
      </c>
      <c r="AY111" s="260"/>
      <c r="AZ111" s="260"/>
      <c r="BA111" s="260"/>
      <c r="BB111" s="295"/>
      <c r="BC111" s="296"/>
      <c r="BD111" s="296"/>
      <c r="BE111" s="227"/>
      <c r="BF111" s="227"/>
      <c r="BG111" s="227"/>
      <c r="BH111" s="227"/>
      <c r="BI111" s="227"/>
      <c r="BJ111" s="227"/>
      <c r="BK111" s="227"/>
      <c r="BL111" s="227"/>
      <c r="BM111" s="227"/>
      <c r="BN111" s="227"/>
      <c r="BO111" s="227"/>
      <c r="BP111" s="227"/>
      <c r="BQ111" s="227"/>
      <c r="BR111" s="227"/>
      <c r="BS111" s="227"/>
      <c r="BT111" s="227"/>
      <c r="BU111" s="227"/>
      <c r="BV111" s="227"/>
      <c r="BW111" s="227"/>
    </row>
    <row r="112" spans="2:75" ht="17" customHeight="1">
      <c r="B112" s="91"/>
      <c r="C112" s="295"/>
      <c r="D112" s="296"/>
      <c r="E112" s="296"/>
      <c r="F112" s="227"/>
      <c r="G112" s="227"/>
      <c r="H112" s="227"/>
      <c r="I112" s="227"/>
      <c r="J112" s="285"/>
      <c r="K112" s="286"/>
      <c r="L112" s="286"/>
      <c r="M112" s="227"/>
      <c r="N112" s="227"/>
      <c r="O112" s="227"/>
      <c r="P112" s="227"/>
      <c r="Q112" s="227"/>
      <c r="R112" s="227"/>
      <c r="S112" s="227"/>
      <c r="T112" s="227"/>
      <c r="U112" s="227"/>
      <c r="V112" s="227"/>
      <c r="W112" s="227"/>
      <c r="X112" s="227"/>
      <c r="Y112" s="227"/>
      <c r="Z112" s="227"/>
      <c r="AA112" s="227"/>
      <c r="AB112" s="227"/>
      <c r="AC112" s="227"/>
      <c r="AD112" s="227"/>
      <c r="AE112" s="227"/>
      <c r="AF112" s="227"/>
      <c r="AG112" s="227"/>
      <c r="AH112" s="227"/>
      <c r="AI112" s="227"/>
      <c r="AJ112" s="227"/>
      <c r="AK112" s="227"/>
      <c r="AL112" s="227"/>
      <c r="AM112" s="227"/>
      <c r="AN112" s="227"/>
      <c r="AO112" s="227"/>
      <c r="AP112" s="227"/>
      <c r="AQ112" s="227"/>
      <c r="AR112" s="227"/>
      <c r="AS112" s="227"/>
      <c r="AT112" s="260" t="s">
        <v>153</v>
      </c>
      <c r="AU112" s="260"/>
      <c r="AV112" s="260"/>
      <c r="AW112" s="260"/>
      <c r="AX112" s="260" t="s">
        <v>112</v>
      </c>
      <c r="AY112" s="260"/>
      <c r="AZ112" s="260"/>
      <c r="BA112" s="260"/>
      <c r="BB112" s="295"/>
      <c r="BC112" s="296"/>
      <c r="BD112" s="296"/>
      <c r="BE112" s="227"/>
      <c r="BF112" s="227"/>
      <c r="BG112" s="227"/>
      <c r="BH112" s="227"/>
      <c r="BI112" s="227"/>
      <c r="BJ112" s="227"/>
      <c r="BK112" s="227"/>
      <c r="BL112" s="227"/>
      <c r="BM112" s="227"/>
      <c r="BN112" s="227"/>
      <c r="BO112" s="227"/>
      <c r="BP112" s="227"/>
      <c r="BQ112" s="227"/>
      <c r="BR112" s="227"/>
      <c r="BS112" s="227"/>
      <c r="BT112" s="227"/>
      <c r="BU112" s="227"/>
      <c r="BV112" s="227"/>
      <c r="BW112" s="227"/>
    </row>
    <row r="113" spans="2:75" ht="30.5" customHeight="1">
      <c r="B113" s="91"/>
      <c r="C113" s="295"/>
      <c r="D113" s="296"/>
      <c r="E113" s="296"/>
      <c r="F113" s="227"/>
      <c r="G113" s="227"/>
      <c r="H113" s="227"/>
      <c r="I113" s="227"/>
      <c r="J113" s="285"/>
      <c r="K113" s="286"/>
      <c r="L113" s="286"/>
      <c r="M113" s="227"/>
      <c r="N113" s="227"/>
      <c r="O113" s="227"/>
      <c r="P113" s="227"/>
      <c r="Q113" s="227"/>
      <c r="R113" s="227"/>
      <c r="S113" s="227"/>
      <c r="T113" s="227"/>
      <c r="U113" s="227"/>
      <c r="V113" s="227"/>
      <c r="W113" s="227"/>
      <c r="X113" s="227"/>
      <c r="Y113" s="227"/>
      <c r="Z113" s="227"/>
      <c r="AA113" s="227"/>
      <c r="AB113" s="227"/>
      <c r="AC113" s="227"/>
      <c r="AD113" s="227"/>
      <c r="AE113" s="227"/>
      <c r="AF113" s="227"/>
      <c r="AG113" s="227"/>
      <c r="AH113" s="227"/>
      <c r="AI113" s="227"/>
      <c r="AJ113" s="227"/>
      <c r="AK113" s="227"/>
      <c r="AL113" s="227"/>
      <c r="AM113" s="227"/>
      <c r="AN113" s="227"/>
      <c r="AO113" s="227"/>
      <c r="AP113" s="227"/>
      <c r="AQ113" s="227"/>
      <c r="AR113" s="227"/>
      <c r="AS113" s="227"/>
      <c r="AT113" s="298" t="s">
        <v>160</v>
      </c>
      <c r="AU113" s="299"/>
      <c r="AV113" s="299"/>
      <c r="AW113" s="299"/>
      <c r="AX113" s="299"/>
      <c r="AY113" s="299"/>
      <c r="AZ113" s="299"/>
      <c r="BA113" s="300"/>
      <c r="BB113" s="295"/>
      <c r="BC113" s="296"/>
      <c r="BD113" s="296"/>
      <c r="BE113" s="227"/>
      <c r="BF113" s="227"/>
      <c r="BG113" s="227"/>
      <c r="BH113" s="227"/>
      <c r="BI113" s="227"/>
      <c r="BJ113" s="227"/>
      <c r="BK113" s="227"/>
      <c r="BL113" s="227"/>
      <c r="BM113" s="227"/>
      <c r="BN113" s="227"/>
      <c r="BO113" s="227"/>
      <c r="BP113" s="227"/>
      <c r="BQ113" s="227"/>
      <c r="BR113" s="227"/>
      <c r="BS113" s="227"/>
      <c r="BT113" s="227"/>
      <c r="BU113" s="227"/>
      <c r="BV113" s="227"/>
      <c r="BW113" s="227"/>
    </row>
    <row r="114" spans="2:75" ht="17" customHeight="1">
      <c r="B114" s="91"/>
      <c r="C114" s="295"/>
      <c r="D114" s="296"/>
      <c r="E114" s="296"/>
      <c r="F114" s="227"/>
      <c r="G114" s="227"/>
      <c r="H114" s="227"/>
      <c r="I114" s="227"/>
      <c r="J114" s="285"/>
      <c r="K114" s="286"/>
      <c r="L114" s="286"/>
      <c r="M114" s="227"/>
      <c r="N114" s="227"/>
      <c r="O114" s="227"/>
      <c r="P114" s="227"/>
      <c r="Q114" s="227"/>
      <c r="R114" s="227"/>
      <c r="S114" s="227"/>
      <c r="T114" s="227"/>
      <c r="U114" s="227"/>
      <c r="V114" s="227"/>
      <c r="W114" s="227"/>
      <c r="X114" s="227"/>
      <c r="Y114" s="227"/>
      <c r="Z114" s="227"/>
      <c r="AA114" s="227"/>
      <c r="AB114" s="227"/>
      <c r="AC114" s="227"/>
      <c r="AD114" s="227"/>
      <c r="AE114" s="227"/>
      <c r="AF114" s="227"/>
      <c r="AG114" s="227"/>
      <c r="AH114" s="227"/>
      <c r="AI114" s="227"/>
      <c r="AJ114" s="227"/>
      <c r="AK114" s="227"/>
      <c r="AL114" s="227"/>
      <c r="AM114" s="227"/>
      <c r="AN114" s="227"/>
      <c r="AO114" s="227"/>
      <c r="AP114" s="227"/>
      <c r="AQ114" s="227"/>
      <c r="AR114" s="227"/>
      <c r="AS114" s="227"/>
      <c r="AT114" s="260" t="s">
        <v>154</v>
      </c>
      <c r="AU114" s="260"/>
      <c r="AV114" s="260"/>
      <c r="AW114" s="260"/>
      <c r="AX114" s="260" t="s">
        <v>156</v>
      </c>
      <c r="AY114" s="260"/>
      <c r="AZ114" s="260"/>
      <c r="BA114" s="260"/>
      <c r="BB114" s="295"/>
      <c r="BC114" s="296"/>
      <c r="BD114" s="296"/>
      <c r="BE114" s="227"/>
      <c r="BF114" s="227"/>
      <c r="BG114" s="227"/>
      <c r="BH114" s="227"/>
      <c r="BI114" s="227"/>
      <c r="BJ114" s="227"/>
      <c r="BK114" s="227"/>
      <c r="BL114" s="227"/>
      <c r="BM114" s="227"/>
      <c r="BN114" s="227"/>
      <c r="BO114" s="227"/>
      <c r="BP114" s="227"/>
      <c r="BQ114" s="227"/>
      <c r="BR114" s="227"/>
      <c r="BS114" s="227"/>
      <c r="BT114" s="227"/>
      <c r="BU114" s="227"/>
      <c r="BV114" s="227"/>
      <c r="BW114" s="227"/>
    </row>
    <row r="115" spans="2:75" ht="17" customHeight="1">
      <c r="B115" s="90"/>
      <c r="C115" s="291"/>
      <c r="D115" s="292"/>
      <c r="E115" s="292"/>
      <c r="F115" s="240"/>
      <c r="G115" s="240"/>
      <c r="H115" s="240"/>
      <c r="I115" s="240"/>
      <c r="J115" s="293"/>
      <c r="K115" s="294"/>
      <c r="L115" s="294"/>
      <c r="M115" s="240"/>
      <c r="N115" s="240"/>
      <c r="O115" s="240"/>
      <c r="P115" s="240"/>
      <c r="Q115" s="240"/>
      <c r="R115" s="240"/>
      <c r="S115" s="240"/>
      <c r="T115" s="240"/>
      <c r="U115" s="240"/>
      <c r="V115" s="240"/>
      <c r="W115" s="240"/>
      <c r="X115" s="240"/>
      <c r="Y115" s="240"/>
      <c r="Z115" s="240"/>
      <c r="AA115" s="240"/>
      <c r="AB115" s="240"/>
      <c r="AC115" s="240"/>
      <c r="AD115" s="240"/>
      <c r="AE115" s="240"/>
      <c r="AF115" s="240"/>
      <c r="AG115" s="240"/>
      <c r="AH115" s="240"/>
      <c r="AI115" s="240"/>
      <c r="AJ115" s="240"/>
      <c r="AK115" s="240"/>
      <c r="AL115" s="240"/>
      <c r="AM115" s="240"/>
      <c r="AN115" s="240"/>
      <c r="AO115" s="240"/>
      <c r="AP115" s="240"/>
      <c r="AQ115" s="240"/>
      <c r="AR115" s="240"/>
      <c r="AS115" s="240"/>
      <c r="AT115" s="260" t="s">
        <v>155</v>
      </c>
      <c r="AU115" s="260"/>
      <c r="AV115" s="260"/>
      <c r="AW115" s="260"/>
      <c r="AX115" s="260" t="s">
        <v>157</v>
      </c>
      <c r="AY115" s="260"/>
      <c r="AZ115" s="260"/>
      <c r="BA115" s="260"/>
      <c r="BB115" s="291"/>
      <c r="BC115" s="292"/>
      <c r="BD115" s="292"/>
      <c r="BE115" s="240"/>
      <c r="BF115" s="240"/>
      <c r="BG115" s="240"/>
      <c r="BH115" s="240"/>
      <c r="BI115" s="240"/>
      <c r="BJ115" s="240"/>
      <c r="BK115" s="240"/>
      <c r="BL115" s="240"/>
      <c r="BM115" s="240"/>
      <c r="BN115" s="240"/>
      <c r="BO115" s="240"/>
      <c r="BP115" s="240"/>
      <c r="BQ115" s="240"/>
      <c r="BR115" s="240"/>
      <c r="BS115" s="240"/>
      <c r="BT115" s="240"/>
      <c r="BU115" s="240"/>
      <c r="BV115" s="240"/>
      <c r="BW115" s="240"/>
    </row>
    <row r="116" spans="2:75" ht="20" customHeight="1">
      <c r="B116" s="89">
        <v>6</v>
      </c>
      <c r="C116" s="283" t="s">
        <v>68</v>
      </c>
      <c r="D116" s="284"/>
      <c r="E116" s="284"/>
      <c r="F116" s="239" t="s">
        <v>149</v>
      </c>
      <c r="G116" s="239"/>
      <c r="H116" s="239"/>
      <c r="I116" s="239"/>
      <c r="J116" s="287">
        <v>20</v>
      </c>
      <c r="K116" s="288"/>
      <c r="L116" s="288"/>
      <c r="M116" s="297" t="s">
        <v>158</v>
      </c>
      <c r="N116" s="297"/>
      <c r="O116" s="297"/>
      <c r="P116" s="297"/>
      <c r="Q116" s="297"/>
      <c r="R116" s="297"/>
      <c r="S116" s="297"/>
      <c r="T116" s="297"/>
      <c r="U116" s="297"/>
      <c r="V116" s="297"/>
      <c r="W116" s="297"/>
      <c r="X116" s="297"/>
      <c r="Y116" s="297"/>
      <c r="Z116" s="297"/>
      <c r="AA116" s="297"/>
      <c r="AB116" s="239" t="s">
        <v>98</v>
      </c>
      <c r="AC116" s="239"/>
      <c r="AD116" s="239"/>
      <c r="AE116" s="239"/>
      <c r="AF116" s="239"/>
      <c r="AG116" s="270" t="s">
        <v>100</v>
      </c>
      <c r="AH116" s="270"/>
      <c r="AI116" s="270"/>
      <c r="AJ116" s="270"/>
      <c r="AK116" s="270" t="s">
        <v>143</v>
      </c>
      <c r="AL116" s="270"/>
      <c r="AM116" s="270"/>
      <c r="AN116" s="270"/>
      <c r="AO116" s="301" t="s">
        <v>74</v>
      </c>
      <c r="AP116" s="301"/>
      <c r="AQ116" s="301"/>
      <c r="AR116" s="301"/>
      <c r="AS116" s="301"/>
      <c r="AT116" s="302" t="s">
        <v>100</v>
      </c>
      <c r="AU116" s="302"/>
      <c r="AV116" s="302"/>
      <c r="AW116" s="302"/>
      <c r="AX116" s="302" t="s">
        <v>143</v>
      </c>
      <c r="AY116" s="302"/>
      <c r="AZ116" s="302"/>
      <c r="BA116" s="302"/>
      <c r="BB116" s="283" t="s">
        <v>68</v>
      </c>
      <c r="BC116" s="284"/>
      <c r="BD116" s="284"/>
      <c r="BE116" s="239" t="s">
        <v>69</v>
      </c>
      <c r="BF116" s="239"/>
      <c r="BG116" s="239"/>
      <c r="BH116" s="239"/>
      <c r="BI116" s="239" t="s">
        <v>151</v>
      </c>
      <c r="BJ116" s="239"/>
      <c r="BK116" s="239"/>
      <c r="BL116" s="239"/>
      <c r="BM116" s="239"/>
      <c r="BN116" s="239"/>
      <c r="BO116" s="239"/>
      <c r="BP116" s="239"/>
      <c r="BQ116" s="239"/>
      <c r="BR116" s="239"/>
      <c r="BS116" s="239"/>
      <c r="BT116" s="239"/>
      <c r="BU116" s="239"/>
      <c r="BV116" s="239"/>
      <c r="BW116" s="239"/>
    </row>
    <row r="117" spans="2:75" ht="17" customHeight="1">
      <c r="B117" s="91"/>
      <c r="C117" s="295"/>
      <c r="D117" s="296"/>
      <c r="E117" s="296"/>
      <c r="F117" s="227"/>
      <c r="G117" s="227"/>
      <c r="H117" s="227"/>
      <c r="I117" s="227"/>
      <c r="J117" s="285"/>
      <c r="K117" s="286"/>
      <c r="L117" s="286"/>
      <c r="M117" s="227" t="s">
        <v>159</v>
      </c>
      <c r="N117" s="227"/>
      <c r="O117" s="227"/>
      <c r="P117" s="227"/>
      <c r="Q117" s="227"/>
      <c r="R117" s="227"/>
      <c r="S117" s="227"/>
      <c r="T117" s="227"/>
      <c r="U117" s="227"/>
      <c r="V117" s="227"/>
      <c r="W117" s="227"/>
      <c r="X117" s="227"/>
      <c r="Y117" s="227"/>
      <c r="Z117" s="227"/>
      <c r="AA117" s="227"/>
      <c r="AB117" s="227"/>
      <c r="AC117" s="227"/>
      <c r="AD117" s="227"/>
      <c r="AE117" s="227"/>
      <c r="AF117" s="227"/>
      <c r="AG117" s="270" t="s">
        <v>82</v>
      </c>
      <c r="AH117" s="270"/>
      <c r="AI117" s="270"/>
      <c r="AJ117" s="270"/>
      <c r="AK117" s="270" t="s">
        <v>148</v>
      </c>
      <c r="AL117" s="270"/>
      <c r="AM117" s="270"/>
      <c r="AN117" s="270"/>
      <c r="AO117" s="227"/>
      <c r="AP117" s="227"/>
      <c r="AQ117" s="227"/>
      <c r="AR117" s="227"/>
      <c r="AS117" s="227"/>
      <c r="AT117" s="302" t="s">
        <v>82</v>
      </c>
      <c r="AU117" s="302"/>
      <c r="AV117" s="302"/>
      <c r="AW117" s="302"/>
      <c r="AX117" s="302" t="s">
        <v>148</v>
      </c>
      <c r="AY117" s="302"/>
      <c r="AZ117" s="302"/>
      <c r="BA117" s="302"/>
      <c r="BB117" s="295"/>
      <c r="BC117" s="296"/>
      <c r="BD117" s="296"/>
      <c r="BE117" s="227"/>
      <c r="BF117" s="227"/>
      <c r="BG117" s="227"/>
      <c r="BH117" s="227"/>
      <c r="BI117" s="227" t="s">
        <v>162</v>
      </c>
      <c r="BJ117" s="227"/>
      <c r="BK117" s="227"/>
      <c r="BL117" s="227"/>
      <c r="BM117" s="227"/>
      <c r="BN117" s="227"/>
      <c r="BO117" s="227"/>
      <c r="BP117" s="227"/>
      <c r="BQ117" s="227"/>
      <c r="BR117" s="227"/>
      <c r="BS117" s="227"/>
      <c r="BT117" s="227"/>
      <c r="BU117" s="227"/>
      <c r="BV117" s="227"/>
      <c r="BW117" s="227"/>
    </row>
    <row r="118" spans="2:75" ht="17" customHeight="1">
      <c r="B118" s="91"/>
      <c r="C118" s="295"/>
      <c r="D118" s="296"/>
      <c r="E118" s="296"/>
      <c r="F118" s="227"/>
      <c r="G118" s="227"/>
      <c r="H118" s="227"/>
      <c r="I118" s="227"/>
      <c r="J118" s="285"/>
      <c r="K118" s="286"/>
      <c r="L118" s="286"/>
      <c r="M118" s="227"/>
      <c r="N118" s="227"/>
      <c r="O118" s="227"/>
      <c r="P118" s="227"/>
      <c r="Q118" s="227"/>
      <c r="R118" s="227"/>
      <c r="S118" s="227"/>
      <c r="T118" s="227"/>
      <c r="U118" s="227"/>
      <c r="V118" s="227"/>
      <c r="W118" s="227"/>
      <c r="X118" s="227"/>
      <c r="Y118" s="227"/>
      <c r="Z118" s="227"/>
      <c r="AA118" s="227"/>
      <c r="AB118" s="227"/>
      <c r="AC118" s="227"/>
      <c r="AD118" s="227"/>
      <c r="AE118" s="227"/>
      <c r="AF118" s="227"/>
      <c r="AG118" s="270" t="s">
        <v>152</v>
      </c>
      <c r="AH118" s="270"/>
      <c r="AI118" s="270"/>
      <c r="AJ118" s="270"/>
      <c r="AK118" s="270" t="s">
        <v>99</v>
      </c>
      <c r="AL118" s="270"/>
      <c r="AM118" s="270"/>
      <c r="AN118" s="270"/>
      <c r="AO118" s="227"/>
      <c r="AP118" s="227"/>
      <c r="AQ118" s="227"/>
      <c r="AR118" s="227"/>
      <c r="AS118" s="227"/>
      <c r="AT118" s="302" t="s">
        <v>152</v>
      </c>
      <c r="AU118" s="302"/>
      <c r="AV118" s="302"/>
      <c r="AW118" s="302"/>
      <c r="AX118" s="302" t="s">
        <v>99</v>
      </c>
      <c r="AY118" s="302"/>
      <c r="AZ118" s="302"/>
      <c r="BA118" s="302"/>
      <c r="BB118" s="295"/>
      <c r="BC118" s="296"/>
      <c r="BD118" s="296"/>
      <c r="BE118" s="227"/>
      <c r="BF118" s="227"/>
      <c r="BG118" s="227"/>
      <c r="BH118" s="227"/>
      <c r="BI118" s="227"/>
      <c r="BJ118" s="227"/>
      <c r="BK118" s="227"/>
      <c r="BL118" s="227"/>
      <c r="BM118" s="227"/>
      <c r="BN118" s="227"/>
      <c r="BO118" s="227"/>
      <c r="BP118" s="227"/>
      <c r="BQ118" s="227"/>
      <c r="BR118" s="227"/>
      <c r="BS118" s="227"/>
      <c r="BT118" s="227"/>
      <c r="BU118" s="227"/>
      <c r="BV118" s="227"/>
      <c r="BW118" s="227"/>
    </row>
    <row r="119" spans="2:75" ht="17" customHeight="1">
      <c r="B119" s="91"/>
      <c r="C119" s="295"/>
      <c r="D119" s="296"/>
      <c r="E119" s="296"/>
      <c r="F119" s="227"/>
      <c r="G119" s="227"/>
      <c r="H119" s="227"/>
      <c r="I119" s="227"/>
      <c r="J119" s="285"/>
      <c r="K119" s="286"/>
      <c r="L119" s="286"/>
      <c r="M119" s="227"/>
      <c r="N119" s="227"/>
      <c r="O119" s="227"/>
      <c r="P119" s="227"/>
      <c r="Q119" s="227"/>
      <c r="R119" s="227"/>
      <c r="S119" s="227"/>
      <c r="T119" s="227"/>
      <c r="U119" s="227"/>
      <c r="V119" s="227"/>
      <c r="W119" s="227"/>
      <c r="X119" s="227"/>
      <c r="Y119" s="227"/>
      <c r="Z119" s="227"/>
      <c r="AA119" s="227"/>
      <c r="AB119" s="227"/>
      <c r="AC119" s="227"/>
      <c r="AD119" s="227"/>
      <c r="AE119" s="227"/>
      <c r="AF119" s="227"/>
      <c r="AG119" s="270" t="s">
        <v>153</v>
      </c>
      <c r="AH119" s="270"/>
      <c r="AI119" s="270"/>
      <c r="AJ119" s="270"/>
      <c r="AK119" s="270" t="s">
        <v>112</v>
      </c>
      <c r="AL119" s="270"/>
      <c r="AM119" s="270"/>
      <c r="AN119" s="270"/>
      <c r="AO119" s="227"/>
      <c r="AP119" s="227"/>
      <c r="AQ119" s="227"/>
      <c r="AR119" s="227"/>
      <c r="AS119" s="227"/>
      <c r="AT119" s="302" t="s">
        <v>153</v>
      </c>
      <c r="AU119" s="302"/>
      <c r="AV119" s="302"/>
      <c r="AW119" s="302"/>
      <c r="AX119" s="302" t="s">
        <v>112</v>
      </c>
      <c r="AY119" s="302"/>
      <c r="AZ119" s="302"/>
      <c r="BA119" s="302"/>
      <c r="BB119" s="295"/>
      <c r="BC119" s="296"/>
      <c r="BD119" s="296"/>
      <c r="BE119" s="227"/>
      <c r="BF119" s="227"/>
      <c r="BG119" s="227"/>
      <c r="BH119" s="227"/>
      <c r="BI119" s="227"/>
      <c r="BJ119" s="227"/>
      <c r="BK119" s="227"/>
      <c r="BL119" s="227"/>
      <c r="BM119" s="227"/>
      <c r="BN119" s="227"/>
      <c r="BO119" s="227"/>
      <c r="BP119" s="227"/>
      <c r="BQ119" s="227"/>
      <c r="BR119" s="227"/>
      <c r="BS119" s="227"/>
      <c r="BT119" s="227"/>
      <c r="BU119" s="227"/>
      <c r="BV119" s="227"/>
      <c r="BW119" s="227"/>
    </row>
    <row r="120" spans="2:75" ht="31" customHeight="1">
      <c r="B120" s="91"/>
      <c r="C120" s="295"/>
      <c r="D120" s="296"/>
      <c r="E120" s="296"/>
      <c r="F120" s="227"/>
      <c r="G120" s="227"/>
      <c r="H120" s="227"/>
      <c r="I120" s="227"/>
      <c r="J120" s="285"/>
      <c r="K120" s="286"/>
      <c r="L120" s="286"/>
      <c r="M120" s="227"/>
      <c r="N120" s="227"/>
      <c r="O120" s="227"/>
      <c r="P120" s="227"/>
      <c r="Q120" s="227"/>
      <c r="R120" s="227"/>
      <c r="S120" s="227"/>
      <c r="T120" s="227"/>
      <c r="U120" s="227"/>
      <c r="V120" s="227"/>
      <c r="W120" s="227"/>
      <c r="X120" s="227"/>
      <c r="Y120" s="227"/>
      <c r="Z120" s="227"/>
      <c r="AA120" s="227"/>
      <c r="AB120" s="227"/>
      <c r="AC120" s="227"/>
      <c r="AD120" s="227"/>
      <c r="AE120" s="227"/>
      <c r="AF120" s="227"/>
      <c r="AG120" s="303" t="s">
        <v>161</v>
      </c>
      <c r="AH120" s="304"/>
      <c r="AI120" s="304"/>
      <c r="AJ120" s="304"/>
      <c r="AK120" s="304"/>
      <c r="AL120" s="304"/>
      <c r="AM120" s="304"/>
      <c r="AN120" s="305"/>
      <c r="AO120" s="227"/>
      <c r="AP120" s="227"/>
      <c r="AQ120" s="227"/>
      <c r="AR120" s="227"/>
      <c r="AS120" s="227"/>
      <c r="AT120" s="306" t="s">
        <v>160</v>
      </c>
      <c r="AU120" s="307"/>
      <c r="AV120" s="307"/>
      <c r="AW120" s="307"/>
      <c r="AX120" s="307"/>
      <c r="AY120" s="307"/>
      <c r="AZ120" s="307"/>
      <c r="BA120" s="308"/>
      <c r="BB120" s="295"/>
      <c r="BC120" s="296"/>
      <c r="BD120" s="296"/>
      <c r="BE120" s="227"/>
      <c r="BF120" s="227"/>
      <c r="BG120" s="227"/>
      <c r="BH120" s="227"/>
      <c r="BI120" s="227"/>
      <c r="BJ120" s="227"/>
      <c r="BK120" s="227"/>
      <c r="BL120" s="227"/>
      <c r="BM120" s="227"/>
      <c r="BN120" s="227"/>
      <c r="BO120" s="227"/>
      <c r="BP120" s="227"/>
      <c r="BQ120" s="227"/>
      <c r="BR120" s="227"/>
      <c r="BS120" s="227"/>
      <c r="BT120" s="227"/>
      <c r="BU120" s="227"/>
      <c r="BV120" s="227"/>
      <c r="BW120" s="227"/>
    </row>
    <row r="121" spans="2:75" ht="17" customHeight="1">
      <c r="B121" s="91"/>
      <c r="C121" s="295"/>
      <c r="D121" s="296"/>
      <c r="E121" s="296"/>
      <c r="F121" s="227"/>
      <c r="G121" s="227"/>
      <c r="H121" s="227"/>
      <c r="I121" s="227"/>
      <c r="J121" s="285"/>
      <c r="K121" s="286"/>
      <c r="L121" s="286"/>
      <c r="M121" s="227"/>
      <c r="N121" s="227"/>
      <c r="O121" s="227"/>
      <c r="P121" s="227"/>
      <c r="Q121" s="227"/>
      <c r="R121" s="227"/>
      <c r="S121" s="227"/>
      <c r="T121" s="227"/>
      <c r="U121" s="227"/>
      <c r="V121" s="227"/>
      <c r="W121" s="227"/>
      <c r="X121" s="227"/>
      <c r="Y121" s="227"/>
      <c r="Z121" s="227"/>
      <c r="AA121" s="227"/>
      <c r="AB121" s="227"/>
      <c r="AC121" s="227"/>
      <c r="AD121" s="227"/>
      <c r="AE121" s="227"/>
      <c r="AF121" s="227"/>
      <c r="AG121" s="270" t="s">
        <v>154</v>
      </c>
      <c r="AH121" s="270"/>
      <c r="AI121" s="270"/>
      <c r="AJ121" s="270"/>
      <c r="AK121" s="270" t="s">
        <v>156</v>
      </c>
      <c r="AL121" s="270"/>
      <c r="AM121" s="270"/>
      <c r="AN121" s="270"/>
      <c r="AO121" s="227"/>
      <c r="AP121" s="227"/>
      <c r="AQ121" s="227"/>
      <c r="AR121" s="227"/>
      <c r="AS121" s="227"/>
      <c r="AT121" s="302" t="s">
        <v>154</v>
      </c>
      <c r="AU121" s="302"/>
      <c r="AV121" s="302"/>
      <c r="AW121" s="302"/>
      <c r="AX121" s="302" t="s">
        <v>156</v>
      </c>
      <c r="AY121" s="302"/>
      <c r="AZ121" s="302"/>
      <c r="BA121" s="302"/>
      <c r="BB121" s="295"/>
      <c r="BC121" s="296"/>
      <c r="BD121" s="296"/>
      <c r="BE121" s="227"/>
      <c r="BF121" s="227"/>
      <c r="BG121" s="227"/>
      <c r="BH121" s="227"/>
      <c r="BI121" s="227"/>
      <c r="BJ121" s="227"/>
      <c r="BK121" s="227"/>
      <c r="BL121" s="227"/>
      <c r="BM121" s="227"/>
      <c r="BN121" s="227"/>
      <c r="BO121" s="227"/>
      <c r="BP121" s="227"/>
      <c r="BQ121" s="227"/>
      <c r="BR121" s="227"/>
      <c r="BS121" s="227"/>
      <c r="BT121" s="227"/>
      <c r="BU121" s="227"/>
      <c r="BV121" s="227"/>
      <c r="BW121" s="227"/>
    </row>
    <row r="122" spans="2:75" ht="17" customHeight="1">
      <c r="B122" s="90"/>
      <c r="C122" s="291"/>
      <c r="D122" s="292"/>
      <c r="E122" s="292"/>
      <c r="F122" s="240"/>
      <c r="G122" s="240"/>
      <c r="H122" s="240"/>
      <c r="I122" s="240"/>
      <c r="J122" s="293"/>
      <c r="K122" s="294"/>
      <c r="L122" s="294"/>
      <c r="M122" s="240"/>
      <c r="N122" s="240"/>
      <c r="O122" s="240"/>
      <c r="P122" s="240"/>
      <c r="Q122" s="240"/>
      <c r="R122" s="240"/>
      <c r="S122" s="240"/>
      <c r="T122" s="240"/>
      <c r="U122" s="240"/>
      <c r="V122" s="240"/>
      <c r="W122" s="240"/>
      <c r="X122" s="240"/>
      <c r="Y122" s="240"/>
      <c r="Z122" s="240"/>
      <c r="AA122" s="240"/>
      <c r="AB122" s="240"/>
      <c r="AC122" s="240"/>
      <c r="AD122" s="240"/>
      <c r="AE122" s="240"/>
      <c r="AF122" s="240"/>
      <c r="AG122" s="270" t="s">
        <v>155</v>
      </c>
      <c r="AH122" s="270"/>
      <c r="AI122" s="270"/>
      <c r="AJ122" s="270"/>
      <c r="AK122" s="270" t="s">
        <v>157</v>
      </c>
      <c r="AL122" s="270"/>
      <c r="AM122" s="270"/>
      <c r="AN122" s="270"/>
      <c r="AO122" s="240"/>
      <c r="AP122" s="240"/>
      <c r="AQ122" s="240"/>
      <c r="AR122" s="240"/>
      <c r="AS122" s="240"/>
      <c r="AT122" s="302" t="s">
        <v>155</v>
      </c>
      <c r="AU122" s="302"/>
      <c r="AV122" s="302"/>
      <c r="AW122" s="302"/>
      <c r="AX122" s="302" t="s">
        <v>157</v>
      </c>
      <c r="AY122" s="302"/>
      <c r="AZ122" s="302"/>
      <c r="BA122" s="302"/>
      <c r="BB122" s="291"/>
      <c r="BC122" s="292"/>
      <c r="BD122" s="292"/>
      <c r="BE122" s="240"/>
      <c r="BF122" s="240"/>
      <c r="BG122" s="240"/>
      <c r="BH122" s="240"/>
      <c r="BI122" s="240"/>
      <c r="BJ122" s="240"/>
      <c r="BK122" s="240"/>
      <c r="BL122" s="240"/>
      <c r="BM122" s="240"/>
      <c r="BN122" s="240"/>
      <c r="BO122" s="240"/>
      <c r="BP122" s="240"/>
      <c r="BQ122" s="240"/>
      <c r="BR122" s="240"/>
      <c r="BS122" s="240"/>
      <c r="BT122" s="240"/>
      <c r="BU122" s="240"/>
      <c r="BV122" s="240"/>
      <c r="BW122" s="240"/>
    </row>
    <row r="125" spans="2:75" ht="17" customHeight="1">
      <c r="B125" t="s">
        <v>582</v>
      </c>
      <c r="AZ125" t="s">
        <v>552</v>
      </c>
    </row>
    <row r="126" spans="2:75" ht="17" customHeight="1">
      <c r="B126" t="s">
        <v>57</v>
      </c>
      <c r="G126" t="s">
        <v>58</v>
      </c>
    </row>
    <row r="127" spans="2:75" ht="17" customHeight="1">
      <c r="B127" s="192" t="s">
        <v>56</v>
      </c>
      <c r="C127" s="195" t="s">
        <v>531</v>
      </c>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7"/>
      <c r="AV127" s="195" t="s">
        <v>551</v>
      </c>
      <c r="AW127" s="196"/>
      <c r="AX127" s="196"/>
      <c r="AY127" s="196"/>
      <c r="AZ127" s="196"/>
      <c r="BA127" s="196"/>
      <c r="BB127" s="196"/>
      <c r="BC127" s="197"/>
    </row>
    <row r="128" spans="2:75" ht="17" customHeight="1">
      <c r="B128" s="193"/>
      <c r="C128" s="50" t="s">
        <v>520</v>
      </c>
      <c r="D128" s="51"/>
      <c r="E128" s="51"/>
      <c r="F128" s="51"/>
      <c r="G128" s="51"/>
      <c r="H128" s="51"/>
      <c r="I128" s="51"/>
      <c r="J128" s="51"/>
      <c r="K128" s="51"/>
      <c r="L128" s="51"/>
      <c r="M128" s="51"/>
      <c r="N128" s="50" t="s">
        <v>942</v>
      </c>
      <c r="O128" s="51"/>
      <c r="P128" s="51"/>
      <c r="Q128" s="51"/>
      <c r="R128" s="51"/>
      <c r="S128" s="51"/>
      <c r="T128" s="51"/>
      <c r="U128" s="51"/>
      <c r="V128" s="51"/>
      <c r="W128" s="51"/>
      <c r="X128" s="51"/>
      <c r="Y128" s="51"/>
      <c r="Z128" s="50" t="s">
        <v>61</v>
      </c>
      <c r="AA128" s="51"/>
      <c r="AB128" s="51"/>
      <c r="AC128" s="51"/>
      <c r="AD128" s="51"/>
      <c r="AE128" s="51"/>
      <c r="AF128" s="51"/>
      <c r="AG128" s="51"/>
      <c r="AH128" s="51"/>
      <c r="AI128" s="51"/>
      <c r="AJ128" s="51"/>
      <c r="AK128" s="51"/>
      <c r="AL128" s="51"/>
      <c r="AM128" s="51"/>
      <c r="AN128" s="51"/>
      <c r="AO128" s="51"/>
      <c r="AP128" s="51"/>
      <c r="AQ128" s="51"/>
      <c r="AR128" s="51"/>
      <c r="AS128" s="51"/>
      <c r="AT128" s="51"/>
      <c r="AU128" s="52"/>
      <c r="AV128" s="315" t="s">
        <v>530</v>
      </c>
      <c r="AW128" s="316"/>
      <c r="AX128" s="316"/>
      <c r="AY128" s="316"/>
      <c r="AZ128" s="315" t="s">
        <v>890</v>
      </c>
      <c r="BA128" s="316"/>
      <c r="BB128" s="316"/>
      <c r="BC128" s="316"/>
    </row>
    <row r="129" spans="1:56" ht="17" customHeight="1">
      <c r="B129" s="193"/>
      <c r="C129" s="204" t="s">
        <v>62</v>
      </c>
      <c r="D129" s="204"/>
      <c r="E129" s="204"/>
      <c r="F129" s="204" t="s">
        <v>521</v>
      </c>
      <c r="G129" s="204"/>
      <c r="H129" s="204"/>
      <c r="I129" s="204"/>
      <c r="J129" s="204" t="s">
        <v>252</v>
      </c>
      <c r="K129" s="204"/>
      <c r="L129" s="204"/>
      <c r="M129" s="204"/>
      <c r="N129" s="204" t="s">
        <v>62</v>
      </c>
      <c r="O129" s="204"/>
      <c r="P129" s="204"/>
      <c r="Q129" s="312" t="s">
        <v>521</v>
      </c>
      <c r="R129" s="313"/>
      <c r="S129" s="313"/>
      <c r="T129" s="313"/>
      <c r="U129" s="314"/>
      <c r="V129" s="204" t="s">
        <v>252</v>
      </c>
      <c r="W129" s="204"/>
      <c r="X129" s="204"/>
      <c r="Y129" s="204"/>
      <c r="Z129" s="204" t="s">
        <v>62</v>
      </c>
      <c r="AA129" s="204"/>
      <c r="AB129" s="204"/>
      <c r="AC129" s="204" t="s">
        <v>64</v>
      </c>
      <c r="AD129" s="204"/>
      <c r="AE129" s="204"/>
      <c r="AF129" s="204"/>
      <c r="AG129" s="204" t="s">
        <v>66</v>
      </c>
      <c r="AH129" s="204"/>
      <c r="AI129" s="204"/>
      <c r="AJ129" s="204"/>
      <c r="AK129" s="204"/>
      <c r="AL129" s="204"/>
      <c r="AM129" s="204"/>
      <c r="AN129" s="204"/>
      <c r="AO129" s="204"/>
      <c r="AP129" s="204"/>
      <c r="AQ129" s="204"/>
      <c r="AR129" s="204"/>
      <c r="AS129" s="204"/>
      <c r="AT129" s="204"/>
      <c r="AU129" s="204"/>
      <c r="AV129" s="316"/>
      <c r="AW129" s="316"/>
      <c r="AX129" s="316"/>
      <c r="AY129" s="316"/>
      <c r="AZ129" s="316"/>
      <c r="BA129" s="316"/>
      <c r="BB129" s="316"/>
      <c r="BC129" s="316"/>
    </row>
    <row r="130" spans="1:56" ht="17" customHeight="1">
      <c r="B130" s="194"/>
      <c r="C130" s="221" t="s">
        <v>63</v>
      </c>
      <c r="D130" s="221"/>
      <c r="E130" s="221"/>
      <c r="F130" s="221" t="s">
        <v>522</v>
      </c>
      <c r="G130" s="221"/>
      <c r="H130" s="221"/>
      <c r="I130" s="221"/>
      <c r="J130" s="221" t="s">
        <v>523</v>
      </c>
      <c r="K130" s="221"/>
      <c r="L130" s="221"/>
      <c r="M130" s="221"/>
      <c r="N130" s="221" t="s">
        <v>63</v>
      </c>
      <c r="O130" s="221"/>
      <c r="P130" s="221"/>
      <c r="Q130" s="309" t="s">
        <v>522</v>
      </c>
      <c r="R130" s="310"/>
      <c r="S130" s="310"/>
      <c r="T130" s="310"/>
      <c r="U130" s="311"/>
      <c r="V130" s="221" t="s">
        <v>523</v>
      </c>
      <c r="W130" s="221"/>
      <c r="X130" s="221"/>
      <c r="Y130" s="221"/>
      <c r="Z130" s="221" t="s">
        <v>63</v>
      </c>
      <c r="AA130" s="221"/>
      <c r="AB130" s="221"/>
      <c r="AC130" s="221" t="s">
        <v>65</v>
      </c>
      <c r="AD130" s="221"/>
      <c r="AE130" s="221"/>
      <c r="AF130" s="221"/>
      <c r="AG130" s="221" t="s">
        <v>67</v>
      </c>
      <c r="AH130" s="221"/>
      <c r="AI130" s="221"/>
      <c r="AJ130" s="221"/>
      <c r="AK130" s="221"/>
      <c r="AL130" s="221"/>
      <c r="AM130" s="221"/>
      <c r="AN130" s="221"/>
      <c r="AO130" s="221"/>
      <c r="AP130" s="221"/>
      <c r="AQ130" s="221"/>
      <c r="AR130" s="221"/>
      <c r="AS130" s="221"/>
      <c r="AT130" s="221"/>
      <c r="AU130" s="221"/>
      <c r="AV130" s="316"/>
      <c r="AW130" s="316"/>
      <c r="AX130" s="316"/>
      <c r="AY130" s="316"/>
      <c r="AZ130" s="316"/>
      <c r="BA130" s="316"/>
      <c r="BB130" s="316"/>
      <c r="BC130" s="316"/>
    </row>
    <row r="131" spans="1:56" ht="17" customHeight="1">
      <c r="A131" t="s">
        <v>1067</v>
      </c>
      <c r="B131" s="56">
        <v>1</v>
      </c>
      <c r="C131" s="289" t="s">
        <v>524</v>
      </c>
      <c r="D131" s="290"/>
      <c r="E131" s="290"/>
      <c r="F131" s="317" t="s">
        <v>990</v>
      </c>
      <c r="G131" s="206"/>
      <c r="H131" s="206"/>
      <c r="I131" s="206"/>
      <c r="J131" s="206" t="s">
        <v>526</v>
      </c>
      <c r="K131" s="206"/>
      <c r="L131" s="206"/>
      <c r="M131" s="206"/>
      <c r="N131" s="289" t="s">
        <v>524</v>
      </c>
      <c r="O131" s="290"/>
      <c r="P131" s="290"/>
      <c r="Q131" s="318" t="s">
        <v>527</v>
      </c>
      <c r="R131" s="319"/>
      <c r="S131" s="319"/>
      <c r="T131" s="319"/>
      <c r="U131" s="320"/>
      <c r="V131" s="206" t="s">
        <v>114</v>
      </c>
      <c r="W131" s="206"/>
      <c r="X131" s="206"/>
      <c r="Y131" s="206"/>
      <c r="Z131" s="289" t="s">
        <v>525</v>
      </c>
      <c r="AA131" s="290"/>
      <c r="AB131" s="290"/>
      <c r="AC131" s="206" t="s">
        <v>69</v>
      </c>
      <c r="AD131" s="206"/>
      <c r="AE131" s="206"/>
      <c r="AF131" s="206"/>
      <c r="AG131" s="206" t="s">
        <v>70</v>
      </c>
      <c r="AH131" s="206"/>
      <c r="AI131" s="206"/>
      <c r="AJ131" s="206"/>
      <c r="AK131" s="206"/>
      <c r="AL131" s="206"/>
      <c r="AM131" s="206"/>
      <c r="AN131" s="206"/>
      <c r="AO131" s="206"/>
      <c r="AP131" s="206"/>
      <c r="AQ131" s="206"/>
      <c r="AR131" s="206"/>
      <c r="AS131" s="206"/>
      <c r="AT131" s="206"/>
      <c r="AU131" s="206"/>
      <c r="AV131" s="206" t="s">
        <v>528</v>
      </c>
      <c r="AW131" s="206"/>
      <c r="AX131" s="206"/>
      <c r="AY131" s="206"/>
      <c r="AZ131" s="206" t="s">
        <v>528</v>
      </c>
      <c r="BA131" s="206"/>
      <c r="BB131" s="206"/>
      <c r="BC131" s="206"/>
    </row>
    <row r="132" spans="1:56" ht="17" customHeight="1">
      <c r="A132" t="s">
        <v>1068</v>
      </c>
      <c r="B132" s="56">
        <f>B131+1</f>
        <v>2</v>
      </c>
      <c r="C132" s="289" t="s">
        <v>524</v>
      </c>
      <c r="D132" s="290"/>
      <c r="E132" s="290"/>
      <c r="F132" s="317" t="s">
        <v>529</v>
      </c>
      <c r="G132" s="206"/>
      <c r="H132" s="206"/>
      <c r="I132" s="206"/>
      <c r="J132" s="206" t="s">
        <v>526</v>
      </c>
      <c r="K132" s="206"/>
      <c r="L132" s="206"/>
      <c r="M132" s="206"/>
      <c r="N132" s="289" t="s">
        <v>524</v>
      </c>
      <c r="O132" s="290"/>
      <c r="P132" s="290"/>
      <c r="Q132" s="318" t="s">
        <v>1050</v>
      </c>
      <c r="R132" s="319"/>
      <c r="S132" s="319"/>
      <c r="T132" s="319"/>
      <c r="U132" s="320"/>
      <c r="V132" s="206" t="s">
        <v>114</v>
      </c>
      <c r="W132" s="206"/>
      <c r="X132" s="206"/>
      <c r="Y132" s="206"/>
      <c r="Z132" s="289" t="s">
        <v>525</v>
      </c>
      <c r="AA132" s="290"/>
      <c r="AB132" s="290"/>
      <c r="AC132" s="206" t="s">
        <v>77</v>
      </c>
      <c r="AD132" s="206"/>
      <c r="AE132" s="206"/>
      <c r="AF132" s="206"/>
      <c r="AG132" s="206" t="s">
        <v>532</v>
      </c>
      <c r="AH132" s="206"/>
      <c r="AI132" s="206"/>
      <c r="AJ132" s="206"/>
      <c r="AK132" s="206"/>
      <c r="AL132" s="206"/>
      <c r="AM132" s="206"/>
      <c r="AN132" s="206"/>
      <c r="AO132" s="206"/>
      <c r="AP132" s="206"/>
      <c r="AQ132" s="206"/>
      <c r="AR132" s="206"/>
      <c r="AS132" s="206"/>
      <c r="AT132" s="206"/>
      <c r="AU132" s="206"/>
      <c r="AV132" s="206" t="s">
        <v>528</v>
      </c>
      <c r="AW132" s="206"/>
      <c r="AX132" s="206"/>
      <c r="AY132" s="206"/>
      <c r="AZ132" s="206" t="s">
        <v>528</v>
      </c>
      <c r="BA132" s="206"/>
      <c r="BB132" s="206"/>
      <c r="BC132" s="206"/>
    </row>
    <row r="133" spans="1:56" ht="43" customHeight="1">
      <c r="B133" s="56">
        <f t="shared" ref="B133:B150" si="3">B132+1</f>
        <v>3</v>
      </c>
      <c r="C133" s="289" t="s">
        <v>524</v>
      </c>
      <c r="D133" s="290"/>
      <c r="E133" s="290"/>
      <c r="F133" s="317" t="s">
        <v>529</v>
      </c>
      <c r="G133" s="206"/>
      <c r="H133" s="206"/>
      <c r="I133" s="206"/>
      <c r="J133" s="206" t="s">
        <v>526</v>
      </c>
      <c r="K133" s="206"/>
      <c r="L133" s="206"/>
      <c r="M133" s="206"/>
      <c r="N133" s="289" t="s">
        <v>524</v>
      </c>
      <c r="O133" s="290"/>
      <c r="P133" s="290"/>
      <c r="Q133" s="318" t="s">
        <v>527</v>
      </c>
      <c r="R133" s="319"/>
      <c r="S133" s="319"/>
      <c r="T133" s="319"/>
      <c r="U133" s="320"/>
      <c r="V133" s="206" t="s">
        <v>114</v>
      </c>
      <c r="W133" s="206"/>
      <c r="X133" s="206"/>
      <c r="Y133" s="206"/>
      <c r="Z133" s="289" t="s">
        <v>525</v>
      </c>
      <c r="AA133" s="290"/>
      <c r="AB133" s="290"/>
      <c r="AC133" s="206" t="s">
        <v>77</v>
      </c>
      <c r="AD133" s="206"/>
      <c r="AE133" s="206"/>
      <c r="AF133" s="206"/>
      <c r="AG133" s="321" t="s">
        <v>898</v>
      </c>
      <c r="AH133" s="321"/>
      <c r="AI133" s="321"/>
      <c r="AJ133" s="321"/>
      <c r="AK133" s="321"/>
      <c r="AL133" s="321"/>
      <c r="AM133" s="321"/>
      <c r="AN133" s="321"/>
      <c r="AO133" s="321"/>
      <c r="AP133" s="321"/>
      <c r="AQ133" s="321"/>
      <c r="AR133" s="321"/>
      <c r="AS133" s="321"/>
      <c r="AT133" s="321"/>
      <c r="AU133" s="321"/>
      <c r="AV133" s="206" t="s">
        <v>528</v>
      </c>
      <c r="AW133" s="206"/>
      <c r="AX133" s="206"/>
      <c r="AY133" s="206"/>
      <c r="AZ133" s="206" t="s">
        <v>528</v>
      </c>
      <c r="BA133" s="206"/>
      <c r="BB133" s="206"/>
      <c r="BC133" s="206"/>
    </row>
    <row r="134" spans="1:56" ht="43" customHeight="1">
      <c r="B134" s="56">
        <f t="shared" si="3"/>
        <v>4</v>
      </c>
      <c r="C134" s="289" t="s">
        <v>524</v>
      </c>
      <c r="D134" s="290"/>
      <c r="E134" s="290"/>
      <c r="F134" s="317" t="s">
        <v>529</v>
      </c>
      <c r="G134" s="206"/>
      <c r="H134" s="206"/>
      <c r="I134" s="206"/>
      <c r="J134" s="206" t="s">
        <v>526</v>
      </c>
      <c r="K134" s="206"/>
      <c r="L134" s="206"/>
      <c r="M134" s="206"/>
      <c r="N134" s="289" t="s">
        <v>524</v>
      </c>
      <c r="O134" s="290"/>
      <c r="P134" s="290"/>
      <c r="Q134" s="318" t="s">
        <v>527</v>
      </c>
      <c r="R134" s="319"/>
      <c r="S134" s="319"/>
      <c r="T134" s="319"/>
      <c r="U134" s="320"/>
      <c r="V134" s="206" t="s">
        <v>114</v>
      </c>
      <c r="W134" s="206"/>
      <c r="X134" s="206"/>
      <c r="Y134" s="206"/>
      <c r="Z134" s="289" t="s">
        <v>525</v>
      </c>
      <c r="AA134" s="290"/>
      <c r="AB134" s="290"/>
      <c r="AC134" s="206" t="s">
        <v>77</v>
      </c>
      <c r="AD134" s="206"/>
      <c r="AE134" s="206"/>
      <c r="AF134" s="206"/>
      <c r="AG134" s="321" t="s">
        <v>897</v>
      </c>
      <c r="AH134" s="321"/>
      <c r="AI134" s="321"/>
      <c r="AJ134" s="321"/>
      <c r="AK134" s="321"/>
      <c r="AL134" s="321"/>
      <c r="AM134" s="321"/>
      <c r="AN134" s="321"/>
      <c r="AO134" s="321"/>
      <c r="AP134" s="321"/>
      <c r="AQ134" s="321"/>
      <c r="AR134" s="321"/>
      <c r="AS134" s="321"/>
      <c r="AT134" s="321"/>
      <c r="AU134" s="321"/>
      <c r="AV134" s="206" t="s">
        <v>528</v>
      </c>
      <c r="AW134" s="206"/>
      <c r="AX134" s="206"/>
      <c r="AY134" s="206"/>
      <c r="AZ134" s="206" t="s">
        <v>528</v>
      </c>
      <c r="BA134" s="206"/>
      <c r="BB134" s="206"/>
      <c r="BC134" s="206"/>
      <c r="BD134" s="72" t="s">
        <v>899</v>
      </c>
    </row>
    <row r="135" spans="1:56" ht="17" customHeight="1">
      <c r="B135" s="56">
        <f t="shared" si="3"/>
        <v>5</v>
      </c>
      <c r="C135" s="289" t="s">
        <v>524</v>
      </c>
      <c r="D135" s="290"/>
      <c r="E135" s="290"/>
      <c r="F135" s="317" t="s">
        <v>529</v>
      </c>
      <c r="G135" s="206"/>
      <c r="H135" s="206"/>
      <c r="I135" s="206"/>
      <c r="J135" s="206" t="s">
        <v>526</v>
      </c>
      <c r="K135" s="206"/>
      <c r="L135" s="206"/>
      <c r="M135" s="206"/>
      <c r="N135" s="289" t="s">
        <v>524</v>
      </c>
      <c r="O135" s="290"/>
      <c r="P135" s="290"/>
      <c r="Q135" s="318" t="s">
        <v>527</v>
      </c>
      <c r="R135" s="319"/>
      <c r="S135" s="319"/>
      <c r="T135" s="319"/>
      <c r="U135" s="320"/>
      <c r="V135" s="206" t="s">
        <v>114</v>
      </c>
      <c r="W135" s="206"/>
      <c r="X135" s="206"/>
      <c r="Y135" s="206"/>
      <c r="Z135" s="289" t="s">
        <v>525</v>
      </c>
      <c r="AA135" s="290"/>
      <c r="AB135" s="290"/>
      <c r="AC135" s="206" t="s">
        <v>77</v>
      </c>
      <c r="AD135" s="206"/>
      <c r="AE135" s="206"/>
      <c r="AF135" s="206"/>
      <c r="AG135" s="206" t="s">
        <v>1049</v>
      </c>
      <c r="AH135" s="206"/>
      <c r="AI135" s="206"/>
      <c r="AJ135" s="206"/>
      <c r="AK135" s="206"/>
      <c r="AL135" s="206"/>
      <c r="AM135" s="206"/>
      <c r="AN135" s="206"/>
      <c r="AO135" s="206"/>
      <c r="AP135" s="206"/>
      <c r="AQ135" s="206"/>
      <c r="AR135" s="206"/>
      <c r="AS135" s="206"/>
      <c r="AT135" s="206"/>
      <c r="AU135" s="206"/>
      <c r="AV135" s="206" t="s">
        <v>528</v>
      </c>
      <c r="AW135" s="206"/>
      <c r="AX135" s="206"/>
      <c r="AY135" s="206"/>
      <c r="AZ135" s="206" t="s">
        <v>528</v>
      </c>
      <c r="BA135" s="206"/>
      <c r="BB135" s="206"/>
      <c r="BC135" s="206"/>
    </row>
    <row r="136" spans="1:56" ht="17" customHeight="1">
      <c r="B136" s="56">
        <f t="shared" si="3"/>
        <v>6</v>
      </c>
      <c r="C136" s="289" t="s">
        <v>524</v>
      </c>
      <c r="D136" s="290"/>
      <c r="E136" s="290"/>
      <c r="F136" s="317" t="s">
        <v>529</v>
      </c>
      <c r="G136" s="206"/>
      <c r="H136" s="206"/>
      <c r="I136" s="206"/>
      <c r="J136" s="206" t="s">
        <v>526</v>
      </c>
      <c r="K136" s="206"/>
      <c r="L136" s="206"/>
      <c r="M136" s="206"/>
      <c r="N136" s="289" t="s">
        <v>524</v>
      </c>
      <c r="O136" s="290"/>
      <c r="P136" s="290"/>
      <c r="Q136" s="318" t="s">
        <v>527</v>
      </c>
      <c r="R136" s="319"/>
      <c r="S136" s="319"/>
      <c r="T136" s="319"/>
      <c r="U136" s="320"/>
      <c r="V136" s="206" t="s">
        <v>114</v>
      </c>
      <c r="W136" s="206"/>
      <c r="X136" s="206"/>
      <c r="Y136" s="206"/>
      <c r="Z136" s="289" t="s">
        <v>525</v>
      </c>
      <c r="AA136" s="290"/>
      <c r="AB136" s="290"/>
      <c r="AC136" s="206" t="s">
        <v>77</v>
      </c>
      <c r="AD136" s="206"/>
      <c r="AE136" s="206"/>
      <c r="AF136" s="206"/>
      <c r="AG136" s="206" t="s">
        <v>534</v>
      </c>
      <c r="AH136" s="206"/>
      <c r="AI136" s="206"/>
      <c r="AJ136" s="206"/>
      <c r="AK136" s="206"/>
      <c r="AL136" s="206"/>
      <c r="AM136" s="206"/>
      <c r="AN136" s="206"/>
      <c r="AO136" s="206"/>
      <c r="AP136" s="206"/>
      <c r="AQ136" s="206"/>
      <c r="AR136" s="206"/>
      <c r="AS136" s="206"/>
      <c r="AT136" s="206"/>
      <c r="AU136" s="206"/>
      <c r="AV136" s="206" t="s">
        <v>528</v>
      </c>
      <c r="AW136" s="206"/>
      <c r="AX136" s="206"/>
      <c r="AY136" s="206"/>
      <c r="AZ136" s="206" t="s">
        <v>528</v>
      </c>
      <c r="BA136" s="206"/>
      <c r="BB136" s="206"/>
      <c r="BC136" s="206"/>
    </row>
    <row r="137" spans="1:56" ht="17" customHeight="1">
      <c r="B137" s="56">
        <f t="shared" si="3"/>
        <v>7</v>
      </c>
      <c r="C137" s="289" t="s">
        <v>524</v>
      </c>
      <c r="D137" s="290"/>
      <c r="E137" s="290"/>
      <c r="F137" s="317" t="s">
        <v>529</v>
      </c>
      <c r="G137" s="206"/>
      <c r="H137" s="206"/>
      <c r="I137" s="206"/>
      <c r="J137" s="206" t="s">
        <v>526</v>
      </c>
      <c r="K137" s="206"/>
      <c r="L137" s="206"/>
      <c r="M137" s="206"/>
      <c r="N137" s="289" t="s">
        <v>524</v>
      </c>
      <c r="O137" s="290"/>
      <c r="P137" s="290"/>
      <c r="Q137" s="318" t="s">
        <v>527</v>
      </c>
      <c r="R137" s="319"/>
      <c r="S137" s="319"/>
      <c r="T137" s="319"/>
      <c r="U137" s="320"/>
      <c r="V137" s="206" t="s">
        <v>114</v>
      </c>
      <c r="W137" s="206"/>
      <c r="X137" s="206"/>
      <c r="Y137" s="206"/>
      <c r="Z137" s="289" t="s">
        <v>525</v>
      </c>
      <c r="AA137" s="290"/>
      <c r="AB137" s="290"/>
      <c r="AC137" s="206" t="s">
        <v>77</v>
      </c>
      <c r="AD137" s="206"/>
      <c r="AE137" s="206"/>
      <c r="AF137" s="206"/>
      <c r="AG137" s="206" t="s">
        <v>535</v>
      </c>
      <c r="AH137" s="206"/>
      <c r="AI137" s="206"/>
      <c r="AJ137" s="206"/>
      <c r="AK137" s="206"/>
      <c r="AL137" s="206"/>
      <c r="AM137" s="206"/>
      <c r="AN137" s="206"/>
      <c r="AO137" s="206"/>
      <c r="AP137" s="206"/>
      <c r="AQ137" s="206"/>
      <c r="AR137" s="206"/>
      <c r="AS137" s="206"/>
      <c r="AT137" s="206"/>
      <c r="AU137" s="206"/>
      <c r="AV137" s="206" t="s">
        <v>528</v>
      </c>
      <c r="AW137" s="206"/>
      <c r="AX137" s="206"/>
      <c r="AY137" s="206"/>
      <c r="AZ137" s="206" t="s">
        <v>528</v>
      </c>
      <c r="BA137" s="206"/>
      <c r="BB137" s="206"/>
      <c r="BC137" s="206"/>
    </row>
    <row r="138" spans="1:56" ht="17" customHeight="1">
      <c r="B138" s="56">
        <f t="shared" si="3"/>
        <v>8</v>
      </c>
      <c r="C138" s="289" t="s">
        <v>524</v>
      </c>
      <c r="D138" s="290"/>
      <c r="E138" s="290"/>
      <c r="F138" s="317" t="s">
        <v>529</v>
      </c>
      <c r="G138" s="206"/>
      <c r="H138" s="206"/>
      <c r="I138" s="206"/>
      <c r="J138" s="206" t="s">
        <v>526</v>
      </c>
      <c r="K138" s="206"/>
      <c r="L138" s="206"/>
      <c r="M138" s="206"/>
      <c r="N138" s="289" t="s">
        <v>524</v>
      </c>
      <c r="O138" s="290"/>
      <c r="P138" s="290"/>
      <c r="Q138" s="318" t="s">
        <v>527</v>
      </c>
      <c r="R138" s="319"/>
      <c r="S138" s="319"/>
      <c r="T138" s="319"/>
      <c r="U138" s="320"/>
      <c r="V138" s="206" t="s">
        <v>114</v>
      </c>
      <c r="W138" s="206"/>
      <c r="X138" s="206"/>
      <c r="Y138" s="206"/>
      <c r="Z138" s="289" t="s">
        <v>525</v>
      </c>
      <c r="AA138" s="290"/>
      <c r="AB138" s="290"/>
      <c r="AC138" s="206" t="s">
        <v>77</v>
      </c>
      <c r="AD138" s="206"/>
      <c r="AE138" s="206"/>
      <c r="AF138" s="206"/>
      <c r="AG138" s="206" t="s">
        <v>536</v>
      </c>
      <c r="AH138" s="206"/>
      <c r="AI138" s="206"/>
      <c r="AJ138" s="206"/>
      <c r="AK138" s="206"/>
      <c r="AL138" s="206"/>
      <c r="AM138" s="206"/>
      <c r="AN138" s="206"/>
      <c r="AO138" s="206"/>
      <c r="AP138" s="206"/>
      <c r="AQ138" s="206"/>
      <c r="AR138" s="206"/>
      <c r="AS138" s="206"/>
      <c r="AT138" s="206"/>
      <c r="AU138" s="206"/>
      <c r="AV138" s="206" t="s">
        <v>528</v>
      </c>
      <c r="AW138" s="206"/>
      <c r="AX138" s="206"/>
      <c r="AY138" s="206"/>
      <c r="AZ138" s="206" t="s">
        <v>528</v>
      </c>
      <c r="BA138" s="206"/>
      <c r="BB138" s="206"/>
      <c r="BC138" s="206"/>
    </row>
    <row r="139" spans="1:56" ht="17" customHeight="1">
      <c r="B139" s="56">
        <f t="shared" si="3"/>
        <v>9</v>
      </c>
      <c r="C139" s="289" t="s">
        <v>524</v>
      </c>
      <c r="D139" s="290"/>
      <c r="E139" s="290"/>
      <c r="F139" s="317" t="s">
        <v>529</v>
      </c>
      <c r="G139" s="206"/>
      <c r="H139" s="206"/>
      <c r="I139" s="206"/>
      <c r="J139" s="206" t="s">
        <v>526</v>
      </c>
      <c r="K139" s="206"/>
      <c r="L139" s="206"/>
      <c r="M139" s="206"/>
      <c r="N139" s="289" t="s">
        <v>524</v>
      </c>
      <c r="O139" s="290"/>
      <c r="P139" s="290"/>
      <c r="Q139" s="318" t="s">
        <v>527</v>
      </c>
      <c r="R139" s="319"/>
      <c r="S139" s="319"/>
      <c r="T139" s="319"/>
      <c r="U139" s="320"/>
      <c r="V139" s="206" t="s">
        <v>114</v>
      </c>
      <c r="W139" s="206"/>
      <c r="X139" s="206"/>
      <c r="Y139" s="206"/>
      <c r="Z139" s="289" t="s">
        <v>525</v>
      </c>
      <c r="AA139" s="290"/>
      <c r="AB139" s="290"/>
      <c r="AC139" s="206" t="s">
        <v>77</v>
      </c>
      <c r="AD139" s="206"/>
      <c r="AE139" s="206"/>
      <c r="AF139" s="206"/>
      <c r="AG139" s="206" t="s">
        <v>533</v>
      </c>
      <c r="AH139" s="206"/>
      <c r="AI139" s="206"/>
      <c r="AJ139" s="206"/>
      <c r="AK139" s="206"/>
      <c r="AL139" s="206"/>
      <c r="AM139" s="206"/>
      <c r="AN139" s="206"/>
      <c r="AO139" s="206"/>
      <c r="AP139" s="206"/>
      <c r="AQ139" s="206"/>
      <c r="AR139" s="206"/>
      <c r="AS139" s="206"/>
      <c r="AT139" s="206"/>
      <c r="AU139" s="206"/>
      <c r="AV139" s="206" t="s">
        <v>528</v>
      </c>
      <c r="AW139" s="206"/>
      <c r="AX139" s="206"/>
      <c r="AY139" s="206"/>
      <c r="AZ139" s="206" t="s">
        <v>528</v>
      </c>
      <c r="BA139" s="206"/>
      <c r="BB139" s="206"/>
      <c r="BC139" s="206"/>
    </row>
    <row r="140" spans="1:56" ht="17" customHeight="1">
      <c r="B140" s="56">
        <f t="shared" si="3"/>
        <v>10</v>
      </c>
      <c r="C140" s="289" t="s">
        <v>524</v>
      </c>
      <c r="D140" s="290"/>
      <c r="E140" s="290"/>
      <c r="F140" s="317" t="s">
        <v>529</v>
      </c>
      <c r="G140" s="206"/>
      <c r="H140" s="206"/>
      <c r="I140" s="206"/>
      <c r="J140" s="206" t="s">
        <v>526</v>
      </c>
      <c r="K140" s="206"/>
      <c r="L140" s="206"/>
      <c r="M140" s="206"/>
      <c r="N140" s="289" t="s">
        <v>524</v>
      </c>
      <c r="O140" s="290"/>
      <c r="P140" s="290"/>
      <c r="Q140" s="318" t="s">
        <v>527</v>
      </c>
      <c r="R140" s="319"/>
      <c r="S140" s="319"/>
      <c r="T140" s="319"/>
      <c r="U140" s="320"/>
      <c r="V140" s="206" t="s">
        <v>114</v>
      </c>
      <c r="W140" s="206"/>
      <c r="X140" s="206"/>
      <c r="Y140" s="206"/>
      <c r="Z140" s="289" t="s">
        <v>525</v>
      </c>
      <c r="AA140" s="290"/>
      <c r="AB140" s="290"/>
      <c r="AC140" s="206" t="s">
        <v>77</v>
      </c>
      <c r="AD140" s="206"/>
      <c r="AE140" s="206"/>
      <c r="AF140" s="206"/>
      <c r="AG140" s="206" t="s">
        <v>537</v>
      </c>
      <c r="AH140" s="206"/>
      <c r="AI140" s="206"/>
      <c r="AJ140" s="206"/>
      <c r="AK140" s="206"/>
      <c r="AL140" s="206"/>
      <c r="AM140" s="206"/>
      <c r="AN140" s="206"/>
      <c r="AO140" s="206"/>
      <c r="AP140" s="206"/>
      <c r="AQ140" s="206"/>
      <c r="AR140" s="206"/>
      <c r="AS140" s="206"/>
      <c r="AT140" s="206"/>
      <c r="AU140" s="206"/>
      <c r="AV140" s="206" t="s">
        <v>528</v>
      </c>
      <c r="AW140" s="206"/>
      <c r="AX140" s="206"/>
      <c r="AY140" s="206"/>
      <c r="AZ140" s="206" t="s">
        <v>528</v>
      </c>
      <c r="BA140" s="206"/>
      <c r="BB140" s="206"/>
      <c r="BC140" s="206"/>
    </row>
    <row r="141" spans="1:56" ht="17" customHeight="1">
      <c r="B141" s="56">
        <f t="shared" si="3"/>
        <v>11</v>
      </c>
      <c r="C141" s="289" t="s">
        <v>524</v>
      </c>
      <c r="D141" s="290"/>
      <c r="E141" s="290"/>
      <c r="F141" s="317" t="s">
        <v>529</v>
      </c>
      <c r="G141" s="206"/>
      <c r="H141" s="206"/>
      <c r="I141" s="206"/>
      <c r="J141" s="206" t="s">
        <v>526</v>
      </c>
      <c r="K141" s="206"/>
      <c r="L141" s="206"/>
      <c r="M141" s="206"/>
      <c r="N141" s="289" t="s">
        <v>524</v>
      </c>
      <c r="O141" s="290"/>
      <c r="P141" s="290"/>
      <c r="Q141" s="318" t="s">
        <v>527</v>
      </c>
      <c r="R141" s="319"/>
      <c r="S141" s="319"/>
      <c r="T141" s="319"/>
      <c r="U141" s="320"/>
      <c r="V141" s="206" t="s">
        <v>114</v>
      </c>
      <c r="W141" s="206"/>
      <c r="X141" s="206"/>
      <c r="Y141" s="206"/>
      <c r="Z141" s="289" t="s">
        <v>525</v>
      </c>
      <c r="AA141" s="290"/>
      <c r="AB141" s="290"/>
      <c r="AC141" s="206" t="s">
        <v>77</v>
      </c>
      <c r="AD141" s="206"/>
      <c r="AE141" s="206"/>
      <c r="AF141" s="206"/>
      <c r="AG141" s="206" t="s">
        <v>538</v>
      </c>
      <c r="AH141" s="206"/>
      <c r="AI141" s="206"/>
      <c r="AJ141" s="206"/>
      <c r="AK141" s="206"/>
      <c r="AL141" s="206"/>
      <c r="AM141" s="206"/>
      <c r="AN141" s="206"/>
      <c r="AO141" s="206"/>
      <c r="AP141" s="206"/>
      <c r="AQ141" s="206"/>
      <c r="AR141" s="206"/>
      <c r="AS141" s="206"/>
      <c r="AT141" s="206"/>
      <c r="AU141" s="206"/>
      <c r="AV141" s="206" t="s">
        <v>528</v>
      </c>
      <c r="AW141" s="206"/>
      <c r="AX141" s="206"/>
      <c r="AY141" s="206"/>
      <c r="AZ141" s="206" t="s">
        <v>528</v>
      </c>
      <c r="BA141" s="206"/>
      <c r="BB141" s="206"/>
      <c r="BC141" s="206"/>
    </row>
    <row r="142" spans="1:56" ht="17" customHeight="1">
      <c r="A142" t="s">
        <v>1068</v>
      </c>
      <c r="B142" s="56">
        <f t="shared" si="3"/>
        <v>12</v>
      </c>
      <c r="C142" s="289" t="s">
        <v>524</v>
      </c>
      <c r="D142" s="290"/>
      <c r="E142" s="290"/>
      <c r="F142" s="317" t="s">
        <v>529</v>
      </c>
      <c r="G142" s="206"/>
      <c r="H142" s="206"/>
      <c r="I142" s="206"/>
      <c r="J142" s="206" t="s">
        <v>526</v>
      </c>
      <c r="K142" s="206"/>
      <c r="L142" s="206"/>
      <c r="M142" s="206"/>
      <c r="N142" s="289" t="s">
        <v>524</v>
      </c>
      <c r="O142" s="290"/>
      <c r="P142" s="290"/>
      <c r="Q142" s="318" t="s">
        <v>527</v>
      </c>
      <c r="R142" s="319"/>
      <c r="S142" s="319"/>
      <c r="T142" s="319"/>
      <c r="U142" s="320"/>
      <c r="V142" s="206" t="s">
        <v>114</v>
      </c>
      <c r="W142" s="206"/>
      <c r="X142" s="206"/>
      <c r="Y142" s="206"/>
      <c r="Z142" s="289" t="s">
        <v>525</v>
      </c>
      <c r="AA142" s="290"/>
      <c r="AB142" s="290"/>
      <c r="AC142" s="206" t="s">
        <v>77</v>
      </c>
      <c r="AD142" s="206"/>
      <c r="AE142" s="206"/>
      <c r="AF142" s="206"/>
      <c r="AG142" s="270" t="s">
        <v>540</v>
      </c>
      <c r="AH142" s="206"/>
      <c r="AI142" s="206"/>
      <c r="AJ142" s="206"/>
      <c r="AK142" s="206"/>
      <c r="AL142" s="206"/>
      <c r="AM142" s="206"/>
      <c r="AN142" s="206"/>
      <c r="AO142" s="206"/>
      <c r="AP142" s="206"/>
      <c r="AQ142" s="206"/>
      <c r="AR142" s="206"/>
      <c r="AS142" s="206"/>
      <c r="AT142" s="206"/>
      <c r="AU142" s="206"/>
      <c r="AV142" s="206" t="s">
        <v>541</v>
      </c>
      <c r="AW142" s="206"/>
      <c r="AX142" s="206"/>
      <c r="AY142" s="206"/>
      <c r="AZ142" s="206" t="s">
        <v>541</v>
      </c>
      <c r="BA142" s="206"/>
      <c r="BB142" s="206"/>
      <c r="BC142" s="206"/>
    </row>
    <row r="143" spans="1:56" ht="43" customHeight="1">
      <c r="B143" s="56">
        <f t="shared" si="3"/>
        <v>13</v>
      </c>
      <c r="C143" s="289" t="s">
        <v>524</v>
      </c>
      <c r="D143" s="290"/>
      <c r="E143" s="290"/>
      <c r="F143" s="317" t="s">
        <v>529</v>
      </c>
      <c r="G143" s="206"/>
      <c r="H143" s="206"/>
      <c r="I143" s="206"/>
      <c r="J143" s="206" t="s">
        <v>526</v>
      </c>
      <c r="K143" s="206"/>
      <c r="L143" s="206"/>
      <c r="M143" s="206"/>
      <c r="N143" s="289" t="s">
        <v>524</v>
      </c>
      <c r="O143" s="290"/>
      <c r="P143" s="290"/>
      <c r="Q143" s="318" t="s">
        <v>527</v>
      </c>
      <c r="R143" s="319"/>
      <c r="S143" s="319"/>
      <c r="T143" s="319"/>
      <c r="U143" s="320"/>
      <c r="V143" s="206" t="s">
        <v>114</v>
      </c>
      <c r="W143" s="206"/>
      <c r="X143" s="206"/>
      <c r="Y143" s="206"/>
      <c r="Z143" s="289" t="s">
        <v>525</v>
      </c>
      <c r="AA143" s="290"/>
      <c r="AB143" s="290"/>
      <c r="AC143" s="206" t="s">
        <v>77</v>
      </c>
      <c r="AD143" s="206"/>
      <c r="AE143" s="206"/>
      <c r="AF143" s="206"/>
      <c r="AG143" s="321" t="s">
        <v>542</v>
      </c>
      <c r="AH143" s="321"/>
      <c r="AI143" s="321"/>
      <c r="AJ143" s="321"/>
      <c r="AK143" s="321"/>
      <c r="AL143" s="321"/>
      <c r="AM143" s="321"/>
      <c r="AN143" s="321"/>
      <c r="AO143" s="321"/>
      <c r="AP143" s="321"/>
      <c r="AQ143" s="321"/>
      <c r="AR143" s="321"/>
      <c r="AS143" s="321"/>
      <c r="AT143" s="321"/>
      <c r="AU143" s="321"/>
      <c r="AV143" s="206" t="s">
        <v>541</v>
      </c>
      <c r="AW143" s="206"/>
      <c r="AX143" s="206"/>
      <c r="AY143" s="206"/>
      <c r="AZ143" s="206" t="s">
        <v>541</v>
      </c>
      <c r="BA143" s="206"/>
      <c r="BB143" s="206"/>
      <c r="BC143" s="206"/>
    </row>
    <row r="144" spans="1:56" ht="17" customHeight="1">
      <c r="B144" s="56">
        <f t="shared" si="3"/>
        <v>14</v>
      </c>
      <c r="C144" s="289" t="s">
        <v>524</v>
      </c>
      <c r="D144" s="290"/>
      <c r="E144" s="290"/>
      <c r="F144" s="317" t="s">
        <v>529</v>
      </c>
      <c r="G144" s="206"/>
      <c r="H144" s="206"/>
      <c r="I144" s="206"/>
      <c r="J144" s="206" t="s">
        <v>526</v>
      </c>
      <c r="K144" s="206"/>
      <c r="L144" s="206"/>
      <c r="M144" s="206"/>
      <c r="N144" s="289" t="s">
        <v>524</v>
      </c>
      <c r="O144" s="290"/>
      <c r="P144" s="290"/>
      <c r="Q144" s="318" t="s">
        <v>527</v>
      </c>
      <c r="R144" s="319"/>
      <c r="S144" s="319"/>
      <c r="T144" s="319"/>
      <c r="U144" s="320"/>
      <c r="V144" s="206" t="s">
        <v>114</v>
      </c>
      <c r="W144" s="206"/>
      <c r="X144" s="206"/>
      <c r="Y144" s="206"/>
      <c r="Z144" s="289" t="s">
        <v>525</v>
      </c>
      <c r="AA144" s="290"/>
      <c r="AB144" s="290"/>
      <c r="AC144" s="206" t="s">
        <v>77</v>
      </c>
      <c r="AD144" s="206"/>
      <c r="AE144" s="206"/>
      <c r="AF144" s="206"/>
      <c r="AG144" s="270" t="s">
        <v>546</v>
      </c>
      <c r="AH144" s="270"/>
      <c r="AI144" s="270"/>
      <c r="AJ144" s="270"/>
      <c r="AK144" s="270"/>
      <c r="AL144" s="270"/>
      <c r="AM144" s="270"/>
      <c r="AN144" s="270"/>
      <c r="AO144" s="270"/>
      <c r="AP144" s="270"/>
      <c r="AQ144" s="270"/>
      <c r="AR144" s="270"/>
      <c r="AS144" s="270"/>
      <c r="AT144" s="270"/>
      <c r="AU144" s="270"/>
      <c r="AV144" s="206" t="s">
        <v>541</v>
      </c>
      <c r="AW144" s="206"/>
      <c r="AX144" s="206"/>
      <c r="AY144" s="206"/>
      <c r="AZ144" s="206" t="s">
        <v>541</v>
      </c>
      <c r="BA144" s="206"/>
      <c r="BB144" s="206"/>
      <c r="BC144" s="206"/>
    </row>
    <row r="145" spans="2:55" ht="17" customHeight="1">
      <c r="B145" s="56">
        <f t="shared" si="3"/>
        <v>15</v>
      </c>
      <c r="C145" s="289" t="s">
        <v>524</v>
      </c>
      <c r="D145" s="290"/>
      <c r="E145" s="290"/>
      <c r="F145" s="317" t="s">
        <v>529</v>
      </c>
      <c r="G145" s="206"/>
      <c r="H145" s="206"/>
      <c r="I145" s="206"/>
      <c r="J145" s="206" t="s">
        <v>526</v>
      </c>
      <c r="K145" s="206"/>
      <c r="L145" s="206"/>
      <c r="M145" s="206"/>
      <c r="N145" s="289" t="s">
        <v>524</v>
      </c>
      <c r="O145" s="290"/>
      <c r="P145" s="290"/>
      <c r="Q145" s="318" t="s">
        <v>527</v>
      </c>
      <c r="R145" s="319"/>
      <c r="S145" s="319"/>
      <c r="T145" s="319"/>
      <c r="U145" s="320"/>
      <c r="V145" s="206" t="s">
        <v>114</v>
      </c>
      <c r="W145" s="206"/>
      <c r="X145" s="206"/>
      <c r="Y145" s="206"/>
      <c r="Z145" s="289" t="s">
        <v>525</v>
      </c>
      <c r="AA145" s="290"/>
      <c r="AB145" s="290"/>
      <c r="AC145" s="206" t="s">
        <v>77</v>
      </c>
      <c r="AD145" s="206"/>
      <c r="AE145" s="206"/>
      <c r="AF145" s="206"/>
      <c r="AG145" s="270" t="s">
        <v>545</v>
      </c>
      <c r="AH145" s="270"/>
      <c r="AI145" s="270"/>
      <c r="AJ145" s="270"/>
      <c r="AK145" s="270"/>
      <c r="AL145" s="270"/>
      <c r="AM145" s="270"/>
      <c r="AN145" s="270"/>
      <c r="AO145" s="270"/>
      <c r="AP145" s="270"/>
      <c r="AQ145" s="270"/>
      <c r="AR145" s="270"/>
      <c r="AS145" s="270"/>
      <c r="AT145" s="270"/>
      <c r="AU145" s="270"/>
      <c r="AV145" s="206" t="s">
        <v>541</v>
      </c>
      <c r="AW145" s="206"/>
      <c r="AX145" s="206"/>
      <c r="AY145" s="206"/>
      <c r="AZ145" s="206" t="s">
        <v>541</v>
      </c>
      <c r="BA145" s="206"/>
      <c r="BB145" s="206"/>
      <c r="BC145" s="206"/>
    </row>
    <row r="146" spans="2:55" ht="17" customHeight="1">
      <c r="B146" s="56">
        <f t="shared" si="3"/>
        <v>16</v>
      </c>
      <c r="C146" s="289" t="s">
        <v>524</v>
      </c>
      <c r="D146" s="290"/>
      <c r="E146" s="290"/>
      <c r="F146" s="317" t="s">
        <v>529</v>
      </c>
      <c r="G146" s="206"/>
      <c r="H146" s="206"/>
      <c r="I146" s="206"/>
      <c r="J146" s="206" t="s">
        <v>526</v>
      </c>
      <c r="K146" s="206"/>
      <c r="L146" s="206"/>
      <c r="M146" s="206"/>
      <c r="N146" s="289" t="s">
        <v>524</v>
      </c>
      <c r="O146" s="290"/>
      <c r="P146" s="290"/>
      <c r="Q146" s="318" t="s">
        <v>527</v>
      </c>
      <c r="R146" s="319"/>
      <c r="S146" s="319"/>
      <c r="T146" s="319"/>
      <c r="U146" s="320"/>
      <c r="V146" s="206" t="s">
        <v>114</v>
      </c>
      <c r="W146" s="206"/>
      <c r="X146" s="206"/>
      <c r="Y146" s="206"/>
      <c r="Z146" s="289" t="s">
        <v>525</v>
      </c>
      <c r="AA146" s="290"/>
      <c r="AB146" s="290"/>
      <c r="AC146" s="206" t="s">
        <v>77</v>
      </c>
      <c r="AD146" s="206"/>
      <c r="AE146" s="206"/>
      <c r="AF146" s="206"/>
      <c r="AG146" s="270" t="s">
        <v>544</v>
      </c>
      <c r="AH146" s="270"/>
      <c r="AI146" s="270"/>
      <c r="AJ146" s="270"/>
      <c r="AK146" s="270"/>
      <c r="AL146" s="270"/>
      <c r="AM146" s="270"/>
      <c r="AN146" s="270"/>
      <c r="AO146" s="270"/>
      <c r="AP146" s="270"/>
      <c r="AQ146" s="270"/>
      <c r="AR146" s="270"/>
      <c r="AS146" s="270"/>
      <c r="AT146" s="270"/>
      <c r="AU146" s="270"/>
      <c r="AV146" s="206" t="s">
        <v>541</v>
      </c>
      <c r="AW146" s="206"/>
      <c r="AX146" s="206"/>
      <c r="AY146" s="206"/>
      <c r="AZ146" s="206" t="s">
        <v>541</v>
      </c>
      <c r="BA146" s="206"/>
      <c r="BB146" s="206"/>
      <c r="BC146" s="206"/>
    </row>
    <row r="147" spans="2:55" ht="17" customHeight="1">
      <c r="B147" s="56">
        <f t="shared" si="3"/>
        <v>17</v>
      </c>
      <c r="C147" s="289" t="s">
        <v>524</v>
      </c>
      <c r="D147" s="290"/>
      <c r="E147" s="290"/>
      <c r="F147" s="317" t="s">
        <v>529</v>
      </c>
      <c r="G147" s="206"/>
      <c r="H147" s="206"/>
      <c r="I147" s="206"/>
      <c r="J147" s="206" t="s">
        <v>526</v>
      </c>
      <c r="K147" s="206"/>
      <c r="L147" s="206"/>
      <c r="M147" s="206"/>
      <c r="N147" s="289" t="s">
        <v>524</v>
      </c>
      <c r="O147" s="290"/>
      <c r="P147" s="290"/>
      <c r="Q147" s="318" t="s">
        <v>527</v>
      </c>
      <c r="R147" s="319"/>
      <c r="S147" s="319"/>
      <c r="T147" s="319"/>
      <c r="U147" s="320"/>
      <c r="V147" s="206" t="s">
        <v>114</v>
      </c>
      <c r="W147" s="206"/>
      <c r="X147" s="206"/>
      <c r="Y147" s="206"/>
      <c r="Z147" s="289" t="s">
        <v>525</v>
      </c>
      <c r="AA147" s="290"/>
      <c r="AB147" s="290"/>
      <c r="AC147" s="206" t="s">
        <v>77</v>
      </c>
      <c r="AD147" s="206"/>
      <c r="AE147" s="206"/>
      <c r="AF147" s="206"/>
      <c r="AG147" s="270" t="s">
        <v>543</v>
      </c>
      <c r="AH147" s="270"/>
      <c r="AI147" s="270"/>
      <c r="AJ147" s="270"/>
      <c r="AK147" s="270"/>
      <c r="AL147" s="270"/>
      <c r="AM147" s="270"/>
      <c r="AN147" s="270"/>
      <c r="AO147" s="270"/>
      <c r="AP147" s="270"/>
      <c r="AQ147" s="270"/>
      <c r="AR147" s="270"/>
      <c r="AS147" s="270"/>
      <c r="AT147" s="270"/>
      <c r="AU147" s="270"/>
      <c r="AV147" s="206" t="s">
        <v>541</v>
      </c>
      <c r="AW147" s="206"/>
      <c r="AX147" s="206"/>
      <c r="AY147" s="206"/>
      <c r="AZ147" s="206" t="s">
        <v>541</v>
      </c>
      <c r="BA147" s="206"/>
      <c r="BB147" s="206"/>
      <c r="BC147" s="206"/>
    </row>
    <row r="148" spans="2:55" ht="17" customHeight="1">
      <c r="B148" s="56">
        <f t="shared" si="3"/>
        <v>18</v>
      </c>
      <c r="C148" s="289" t="s">
        <v>524</v>
      </c>
      <c r="D148" s="290"/>
      <c r="E148" s="290"/>
      <c r="F148" s="317" t="s">
        <v>529</v>
      </c>
      <c r="G148" s="206"/>
      <c r="H148" s="206"/>
      <c r="I148" s="206"/>
      <c r="J148" s="206" t="s">
        <v>526</v>
      </c>
      <c r="K148" s="206"/>
      <c r="L148" s="206"/>
      <c r="M148" s="206"/>
      <c r="N148" s="289" t="s">
        <v>524</v>
      </c>
      <c r="O148" s="290"/>
      <c r="P148" s="290"/>
      <c r="Q148" s="318" t="s">
        <v>527</v>
      </c>
      <c r="R148" s="319"/>
      <c r="S148" s="319"/>
      <c r="T148" s="319"/>
      <c r="U148" s="320"/>
      <c r="V148" s="206" t="s">
        <v>114</v>
      </c>
      <c r="W148" s="206"/>
      <c r="X148" s="206"/>
      <c r="Y148" s="206"/>
      <c r="Z148" s="289" t="s">
        <v>525</v>
      </c>
      <c r="AA148" s="290"/>
      <c r="AB148" s="290"/>
      <c r="AC148" s="206" t="s">
        <v>77</v>
      </c>
      <c r="AD148" s="206"/>
      <c r="AE148" s="206"/>
      <c r="AF148" s="206"/>
      <c r="AG148" s="270" t="s">
        <v>549</v>
      </c>
      <c r="AH148" s="270"/>
      <c r="AI148" s="270"/>
      <c r="AJ148" s="270"/>
      <c r="AK148" s="270"/>
      <c r="AL148" s="270"/>
      <c r="AM148" s="270"/>
      <c r="AN148" s="270"/>
      <c r="AO148" s="270"/>
      <c r="AP148" s="270"/>
      <c r="AQ148" s="270"/>
      <c r="AR148" s="270"/>
      <c r="AS148" s="270"/>
      <c r="AT148" s="270"/>
      <c r="AU148" s="270"/>
      <c r="AV148" s="206" t="s">
        <v>541</v>
      </c>
      <c r="AW148" s="206"/>
      <c r="AX148" s="206"/>
      <c r="AY148" s="206"/>
      <c r="AZ148" s="206" t="s">
        <v>541</v>
      </c>
      <c r="BA148" s="206"/>
      <c r="BB148" s="206"/>
      <c r="BC148" s="206"/>
    </row>
    <row r="149" spans="2:55" ht="17" customHeight="1">
      <c r="B149" s="56">
        <f t="shared" si="3"/>
        <v>19</v>
      </c>
      <c r="C149" s="289" t="s">
        <v>524</v>
      </c>
      <c r="D149" s="290"/>
      <c r="E149" s="290"/>
      <c r="F149" s="317" t="s">
        <v>529</v>
      </c>
      <c r="G149" s="206"/>
      <c r="H149" s="206"/>
      <c r="I149" s="206"/>
      <c r="J149" s="206" t="s">
        <v>526</v>
      </c>
      <c r="K149" s="206"/>
      <c r="L149" s="206"/>
      <c r="M149" s="206"/>
      <c r="N149" s="289" t="s">
        <v>524</v>
      </c>
      <c r="O149" s="290"/>
      <c r="P149" s="290"/>
      <c r="Q149" s="318" t="s">
        <v>527</v>
      </c>
      <c r="R149" s="319"/>
      <c r="S149" s="319"/>
      <c r="T149" s="319"/>
      <c r="U149" s="320"/>
      <c r="V149" s="206" t="s">
        <v>114</v>
      </c>
      <c r="W149" s="206"/>
      <c r="X149" s="206"/>
      <c r="Y149" s="206"/>
      <c r="Z149" s="289" t="s">
        <v>525</v>
      </c>
      <c r="AA149" s="290"/>
      <c r="AB149" s="290"/>
      <c r="AC149" s="206" t="s">
        <v>77</v>
      </c>
      <c r="AD149" s="206"/>
      <c r="AE149" s="206"/>
      <c r="AF149" s="206"/>
      <c r="AG149" s="270" t="s">
        <v>548</v>
      </c>
      <c r="AH149" s="270"/>
      <c r="AI149" s="270"/>
      <c r="AJ149" s="270"/>
      <c r="AK149" s="270"/>
      <c r="AL149" s="270"/>
      <c r="AM149" s="270"/>
      <c r="AN149" s="270"/>
      <c r="AO149" s="270"/>
      <c r="AP149" s="270"/>
      <c r="AQ149" s="270"/>
      <c r="AR149" s="270"/>
      <c r="AS149" s="270"/>
      <c r="AT149" s="270"/>
      <c r="AU149" s="270"/>
      <c r="AV149" s="206" t="s">
        <v>541</v>
      </c>
      <c r="AW149" s="206"/>
      <c r="AX149" s="206"/>
      <c r="AY149" s="206"/>
      <c r="AZ149" s="206" t="s">
        <v>541</v>
      </c>
      <c r="BA149" s="206"/>
      <c r="BB149" s="206"/>
      <c r="BC149" s="206"/>
    </row>
    <row r="150" spans="2:55" ht="17" customHeight="1">
      <c r="B150" s="56">
        <f t="shared" si="3"/>
        <v>20</v>
      </c>
      <c r="C150" s="289" t="s">
        <v>524</v>
      </c>
      <c r="D150" s="290"/>
      <c r="E150" s="290"/>
      <c r="F150" s="317" t="s">
        <v>529</v>
      </c>
      <c r="G150" s="206"/>
      <c r="H150" s="206"/>
      <c r="I150" s="206"/>
      <c r="J150" s="206" t="s">
        <v>526</v>
      </c>
      <c r="K150" s="206"/>
      <c r="L150" s="206"/>
      <c r="M150" s="206"/>
      <c r="N150" s="289" t="s">
        <v>524</v>
      </c>
      <c r="O150" s="290"/>
      <c r="P150" s="290"/>
      <c r="Q150" s="318" t="s">
        <v>527</v>
      </c>
      <c r="R150" s="319"/>
      <c r="S150" s="319"/>
      <c r="T150" s="319"/>
      <c r="U150" s="320"/>
      <c r="V150" s="206" t="s">
        <v>114</v>
      </c>
      <c r="W150" s="206"/>
      <c r="X150" s="206"/>
      <c r="Y150" s="206"/>
      <c r="Z150" s="289" t="s">
        <v>525</v>
      </c>
      <c r="AA150" s="290"/>
      <c r="AB150" s="290"/>
      <c r="AC150" s="206" t="s">
        <v>77</v>
      </c>
      <c r="AD150" s="206"/>
      <c r="AE150" s="206"/>
      <c r="AF150" s="206"/>
      <c r="AG150" s="270" t="s">
        <v>547</v>
      </c>
      <c r="AH150" s="270"/>
      <c r="AI150" s="270"/>
      <c r="AJ150" s="270"/>
      <c r="AK150" s="270"/>
      <c r="AL150" s="270"/>
      <c r="AM150" s="270"/>
      <c r="AN150" s="270"/>
      <c r="AO150" s="270"/>
      <c r="AP150" s="270"/>
      <c r="AQ150" s="270"/>
      <c r="AR150" s="270"/>
      <c r="AS150" s="270"/>
      <c r="AT150" s="270"/>
      <c r="AU150" s="270"/>
      <c r="AV150" s="206" t="s">
        <v>541</v>
      </c>
      <c r="AW150" s="206"/>
      <c r="AX150" s="206"/>
      <c r="AY150" s="206"/>
      <c r="AZ150" s="206" t="s">
        <v>541</v>
      </c>
      <c r="BA150" s="206"/>
      <c r="BB150" s="206"/>
      <c r="BC150" s="206"/>
    </row>
  </sheetData>
  <mergeCells count="1141">
    <mergeCell ref="Z150:AB150"/>
    <mergeCell ref="AC150:AF150"/>
    <mergeCell ref="AG150:AU150"/>
    <mergeCell ref="AV150:AY150"/>
    <mergeCell ref="AZ150:BC150"/>
    <mergeCell ref="C150:E150"/>
    <mergeCell ref="F150:I150"/>
    <mergeCell ref="J150:M150"/>
    <mergeCell ref="N150:P150"/>
    <mergeCell ref="Q150:U150"/>
    <mergeCell ref="V150:Y150"/>
    <mergeCell ref="V149:Y149"/>
    <mergeCell ref="Z149:AB149"/>
    <mergeCell ref="AC149:AF149"/>
    <mergeCell ref="AG149:AU149"/>
    <mergeCell ref="AV149:AY149"/>
    <mergeCell ref="AZ149:BC149"/>
    <mergeCell ref="Z148:AB148"/>
    <mergeCell ref="AC148:AF148"/>
    <mergeCell ref="AG148:AU148"/>
    <mergeCell ref="AV148:AY148"/>
    <mergeCell ref="AZ148:BC148"/>
    <mergeCell ref="C149:E149"/>
    <mergeCell ref="F149:I149"/>
    <mergeCell ref="J149:M149"/>
    <mergeCell ref="N149:P149"/>
    <mergeCell ref="Q149:U149"/>
    <mergeCell ref="C148:E148"/>
    <mergeCell ref="F148:I148"/>
    <mergeCell ref="J148:M148"/>
    <mergeCell ref="N148:P148"/>
    <mergeCell ref="Q148:U148"/>
    <mergeCell ref="V148:Y148"/>
    <mergeCell ref="V147:Y147"/>
    <mergeCell ref="Z147:AB147"/>
    <mergeCell ref="AC147:AF147"/>
    <mergeCell ref="AG147:AU147"/>
    <mergeCell ref="AV147:AY147"/>
    <mergeCell ref="AZ147:BC147"/>
    <mergeCell ref="Z146:AB146"/>
    <mergeCell ref="AC146:AF146"/>
    <mergeCell ref="AG146:AU146"/>
    <mergeCell ref="AV146:AY146"/>
    <mergeCell ref="AZ146:BC146"/>
    <mergeCell ref="C147:E147"/>
    <mergeCell ref="F147:I147"/>
    <mergeCell ref="J147:M147"/>
    <mergeCell ref="N147:P147"/>
    <mergeCell ref="Q147:U147"/>
    <mergeCell ref="C146:E146"/>
    <mergeCell ref="F146:I146"/>
    <mergeCell ref="J146:M146"/>
    <mergeCell ref="N146:P146"/>
    <mergeCell ref="Q146:U146"/>
    <mergeCell ref="V146:Y146"/>
    <mergeCell ref="V145:Y145"/>
    <mergeCell ref="Z145:AB145"/>
    <mergeCell ref="AC145:AF145"/>
    <mergeCell ref="AG145:AU145"/>
    <mergeCell ref="AV145:AY145"/>
    <mergeCell ref="AZ145:BC145"/>
    <mergeCell ref="Z144:AB144"/>
    <mergeCell ref="AC144:AF144"/>
    <mergeCell ref="AG144:AU144"/>
    <mergeCell ref="AV144:AY144"/>
    <mergeCell ref="AZ144:BC144"/>
    <mergeCell ref="C145:E145"/>
    <mergeCell ref="F145:I145"/>
    <mergeCell ref="J145:M145"/>
    <mergeCell ref="N145:P145"/>
    <mergeCell ref="Q145:U145"/>
    <mergeCell ref="C144:E144"/>
    <mergeCell ref="F144:I144"/>
    <mergeCell ref="J144:M144"/>
    <mergeCell ref="N144:P144"/>
    <mergeCell ref="Q144:U144"/>
    <mergeCell ref="V144:Y144"/>
    <mergeCell ref="V143:Y143"/>
    <mergeCell ref="Z143:AB143"/>
    <mergeCell ref="AC143:AF143"/>
    <mergeCell ref="AG143:AU143"/>
    <mergeCell ref="AV143:AY143"/>
    <mergeCell ref="AZ143:BC143"/>
    <mergeCell ref="Z142:AB142"/>
    <mergeCell ref="AC142:AF142"/>
    <mergeCell ref="AG142:AU142"/>
    <mergeCell ref="AV142:AY142"/>
    <mergeCell ref="AZ142:BC142"/>
    <mergeCell ref="C143:E143"/>
    <mergeCell ref="F143:I143"/>
    <mergeCell ref="J143:M143"/>
    <mergeCell ref="N143:P143"/>
    <mergeCell ref="Q143:U143"/>
    <mergeCell ref="C142:E142"/>
    <mergeCell ref="F142:I142"/>
    <mergeCell ref="J142:M142"/>
    <mergeCell ref="N142:P142"/>
    <mergeCell ref="Q142:U142"/>
    <mergeCell ref="V142:Y142"/>
    <mergeCell ref="V141:Y141"/>
    <mergeCell ref="Z141:AB141"/>
    <mergeCell ref="AC141:AF141"/>
    <mergeCell ref="AG141:AU141"/>
    <mergeCell ref="AV141:AY141"/>
    <mergeCell ref="AZ141:BC141"/>
    <mergeCell ref="Z140:AB140"/>
    <mergeCell ref="AC140:AF140"/>
    <mergeCell ref="AG140:AU140"/>
    <mergeCell ref="AV140:AY140"/>
    <mergeCell ref="AZ140:BC140"/>
    <mergeCell ref="C141:E141"/>
    <mergeCell ref="F141:I141"/>
    <mergeCell ref="J141:M141"/>
    <mergeCell ref="N141:P141"/>
    <mergeCell ref="Q141:U141"/>
    <mergeCell ref="C140:E140"/>
    <mergeCell ref="F140:I140"/>
    <mergeCell ref="J140:M140"/>
    <mergeCell ref="N140:P140"/>
    <mergeCell ref="Q140:U140"/>
    <mergeCell ref="V140:Y140"/>
    <mergeCell ref="V139:Y139"/>
    <mergeCell ref="Z139:AB139"/>
    <mergeCell ref="AC139:AF139"/>
    <mergeCell ref="AG139:AU139"/>
    <mergeCell ref="AV139:AY139"/>
    <mergeCell ref="AZ139:BC139"/>
    <mergeCell ref="Z138:AB138"/>
    <mergeCell ref="AC138:AF138"/>
    <mergeCell ref="AG138:AU138"/>
    <mergeCell ref="AV138:AY138"/>
    <mergeCell ref="AZ138:BC138"/>
    <mergeCell ref="C139:E139"/>
    <mergeCell ref="F139:I139"/>
    <mergeCell ref="J139:M139"/>
    <mergeCell ref="N139:P139"/>
    <mergeCell ref="Q139:U139"/>
    <mergeCell ref="C138:E138"/>
    <mergeCell ref="F138:I138"/>
    <mergeCell ref="J138:M138"/>
    <mergeCell ref="N138:P138"/>
    <mergeCell ref="Q138:U138"/>
    <mergeCell ref="V138:Y138"/>
    <mergeCell ref="V137:Y137"/>
    <mergeCell ref="Z137:AB137"/>
    <mergeCell ref="AC137:AF137"/>
    <mergeCell ref="AG137:AU137"/>
    <mergeCell ref="AV137:AY137"/>
    <mergeCell ref="AZ137:BC137"/>
    <mergeCell ref="Z136:AB136"/>
    <mergeCell ref="AC136:AF136"/>
    <mergeCell ref="AG136:AU136"/>
    <mergeCell ref="AV136:AY136"/>
    <mergeCell ref="AZ136:BC136"/>
    <mergeCell ref="C137:E137"/>
    <mergeCell ref="F137:I137"/>
    <mergeCell ref="J137:M137"/>
    <mergeCell ref="N137:P137"/>
    <mergeCell ref="Q137:U137"/>
    <mergeCell ref="C136:E136"/>
    <mergeCell ref="F136:I136"/>
    <mergeCell ref="J136:M136"/>
    <mergeCell ref="N136:P136"/>
    <mergeCell ref="Q136:U136"/>
    <mergeCell ref="V136:Y136"/>
    <mergeCell ref="V135:Y135"/>
    <mergeCell ref="Z135:AB135"/>
    <mergeCell ref="AC135:AF135"/>
    <mergeCell ref="AG135:AU135"/>
    <mergeCell ref="AV135:AY135"/>
    <mergeCell ref="AZ135:BC135"/>
    <mergeCell ref="Z134:AB134"/>
    <mergeCell ref="AC134:AF134"/>
    <mergeCell ref="AG134:AU134"/>
    <mergeCell ref="AV134:AY134"/>
    <mergeCell ref="AZ134:BC134"/>
    <mergeCell ref="C135:E135"/>
    <mergeCell ref="F135:I135"/>
    <mergeCell ref="J135:M135"/>
    <mergeCell ref="N135:P135"/>
    <mergeCell ref="Q135:U135"/>
    <mergeCell ref="C134:E134"/>
    <mergeCell ref="F134:I134"/>
    <mergeCell ref="J134:M134"/>
    <mergeCell ref="N134:P134"/>
    <mergeCell ref="Q134:U134"/>
    <mergeCell ref="V134:Y134"/>
    <mergeCell ref="V133:Y133"/>
    <mergeCell ref="Z133:AB133"/>
    <mergeCell ref="AC133:AF133"/>
    <mergeCell ref="AG133:AU133"/>
    <mergeCell ref="AV133:AY133"/>
    <mergeCell ref="AZ133:BC133"/>
    <mergeCell ref="Z132:AB132"/>
    <mergeCell ref="AC132:AF132"/>
    <mergeCell ref="AG132:AU132"/>
    <mergeCell ref="AV132:AY132"/>
    <mergeCell ref="AZ132:BC132"/>
    <mergeCell ref="C133:E133"/>
    <mergeCell ref="F133:I133"/>
    <mergeCell ref="J133:M133"/>
    <mergeCell ref="N133:P133"/>
    <mergeCell ref="Q133:U133"/>
    <mergeCell ref="AC131:AF131"/>
    <mergeCell ref="AG131:AU131"/>
    <mergeCell ref="AV131:AY131"/>
    <mergeCell ref="AZ131:BC131"/>
    <mergeCell ref="C132:E132"/>
    <mergeCell ref="F132:I132"/>
    <mergeCell ref="J132:M132"/>
    <mergeCell ref="N132:P132"/>
    <mergeCell ref="Q132:U132"/>
    <mergeCell ref="V132:Y132"/>
    <mergeCell ref="C131:E131"/>
    <mergeCell ref="F131:I131"/>
    <mergeCell ref="J131:M131"/>
    <mergeCell ref="N131:P131"/>
    <mergeCell ref="Q131:U131"/>
    <mergeCell ref="V131:Y131"/>
    <mergeCell ref="Z131:AB131"/>
    <mergeCell ref="Q129:U129"/>
    <mergeCell ref="V129:Y129"/>
    <mergeCell ref="Z129:AB129"/>
    <mergeCell ref="BE122:BH122"/>
    <mergeCell ref="BI122:BW122"/>
    <mergeCell ref="B127:B130"/>
    <mergeCell ref="C127:AU127"/>
    <mergeCell ref="AV127:BC127"/>
    <mergeCell ref="AV128:AY130"/>
    <mergeCell ref="AZ128:BC130"/>
    <mergeCell ref="C129:E129"/>
    <mergeCell ref="F129:I129"/>
    <mergeCell ref="J129:M129"/>
    <mergeCell ref="AG122:AJ122"/>
    <mergeCell ref="AK122:AN122"/>
    <mergeCell ref="AO122:AS122"/>
    <mergeCell ref="AT122:AW122"/>
    <mergeCell ref="AX122:BA122"/>
    <mergeCell ref="BB122:BD122"/>
    <mergeCell ref="AT121:AW121"/>
    <mergeCell ref="AX121:BA121"/>
    <mergeCell ref="BB121:BD121"/>
    <mergeCell ref="BE121:BH121"/>
    <mergeCell ref="BI121:BW121"/>
    <mergeCell ref="C122:E122"/>
    <mergeCell ref="F122:I122"/>
    <mergeCell ref="J122:L122"/>
    <mergeCell ref="M122:AA122"/>
    <mergeCell ref="AB122:AF122"/>
    <mergeCell ref="Z130:AB130"/>
    <mergeCell ref="AC130:AF130"/>
    <mergeCell ref="AG130:AU130"/>
    <mergeCell ref="AC129:AF129"/>
    <mergeCell ref="AG129:AU129"/>
    <mergeCell ref="BE120:BH120"/>
    <mergeCell ref="BI120:BW120"/>
    <mergeCell ref="C121:E121"/>
    <mergeCell ref="F121:I121"/>
    <mergeCell ref="J121:L121"/>
    <mergeCell ref="M121:AA121"/>
    <mergeCell ref="AB121:AF121"/>
    <mergeCell ref="AG121:AJ121"/>
    <mergeCell ref="AK121:AN121"/>
    <mergeCell ref="AO121:AS121"/>
    <mergeCell ref="C130:E130"/>
    <mergeCell ref="F130:I130"/>
    <mergeCell ref="J130:M130"/>
    <mergeCell ref="N130:P130"/>
    <mergeCell ref="Q130:U130"/>
    <mergeCell ref="V130:Y130"/>
    <mergeCell ref="N129:P129"/>
    <mergeCell ref="BI119:BW119"/>
    <mergeCell ref="C120:E120"/>
    <mergeCell ref="F120:I120"/>
    <mergeCell ref="J120:L120"/>
    <mergeCell ref="M120:AA120"/>
    <mergeCell ref="AB120:AF120"/>
    <mergeCell ref="AG120:AN120"/>
    <mergeCell ref="AO120:AS120"/>
    <mergeCell ref="AT120:BA120"/>
    <mergeCell ref="BB120:BD120"/>
    <mergeCell ref="AK119:AN119"/>
    <mergeCell ref="AO119:AS119"/>
    <mergeCell ref="AT119:AW119"/>
    <mergeCell ref="AX119:BA119"/>
    <mergeCell ref="BB119:BD119"/>
    <mergeCell ref="BE119:BH119"/>
    <mergeCell ref="AX118:BA118"/>
    <mergeCell ref="BB118:BD118"/>
    <mergeCell ref="BE118:BH118"/>
    <mergeCell ref="BI118:BW118"/>
    <mergeCell ref="C119:E119"/>
    <mergeCell ref="F119:I119"/>
    <mergeCell ref="J119:L119"/>
    <mergeCell ref="M119:AA119"/>
    <mergeCell ref="AB119:AF119"/>
    <mergeCell ref="AG119:AJ119"/>
    <mergeCell ref="BI117:BW117"/>
    <mergeCell ref="C118:E118"/>
    <mergeCell ref="F118:I118"/>
    <mergeCell ref="J118:L118"/>
    <mergeCell ref="M118:AA118"/>
    <mergeCell ref="AB118:AF118"/>
    <mergeCell ref="AG118:AJ118"/>
    <mergeCell ref="AK118:AN118"/>
    <mergeCell ref="AO118:AS118"/>
    <mergeCell ref="AT118:AW118"/>
    <mergeCell ref="AK117:AN117"/>
    <mergeCell ref="AO117:AS117"/>
    <mergeCell ref="AT117:AW117"/>
    <mergeCell ref="AX117:BA117"/>
    <mergeCell ref="BB117:BD117"/>
    <mergeCell ref="BE117:BH117"/>
    <mergeCell ref="AX116:BA116"/>
    <mergeCell ref="BB116:BD116"/>
    <mergeCell ref="BE116:BH116"/>
    <mergeCell ref="BI116:BW116"/>
    <mergeCell ref="C117:E117"/>
    <mergeCell ref="F117:I117"/>
    <mergeCell ref="J117:L117"/>
    <mergeCell ref="M117:AA117"/>
    <mergeCell ref="AB117:AF117"/>
    <mergeCell ref="AG117:AJ117"/>
    <mergeCell ref="BI115:BW115"/>
    <mergeCell ref="C116:E116"/>
    <mergeCell ref="F116:I116"/>
    <mergeCell ref="J116:L116"/>
    <mergeCell ref="M116:AA116"/>
    <mergeCell ref="AB116:AF116"/>
    <mergeCell ref="AG116:AJ116"/>
    <mergeCell ref="AK116:AN116"/>
    <mergeCell ref="AO116:AS116"/>
    <mergeCell ref="AT116:AW116"/>
    <mergeCell ref="AK115:AN115"/>
    <mergeCell ref="AO115:AS115"/>
    <mergeCell ref="AT115:AW115"/>
    <mergeCell ref="AX115:BA115"/>
    <mergeCell ref="BB115:BD115"/>
    <mergeCell ref="BE115:BH115"/>
    <mergeCell ref="AX114:BA114"/>
    <mergeCell ref="BB114:BD114"/>
    <mergeCell ref="BE114:BH114"/>
    <mergeCell ref="BI114:BW114"/>
    <mergeCell ref="C115:E115"/>
    <mergeCell ref="F115:I115"/>
    <mergeCell ref="J115:L115"/>
    <mergeCell ref="M115:AA115"/>
    <mergeCell ref="AB115:AF115"/>
    <mergeCell ref="AG115:AJ115"/>
    <mergeCell ref="BI113:BW113"/>
    <mergeCell ref="C114:E114"/>
    <mergeCell ref="F114:I114"/>
    <mergeCell ref="J114:L114"/>
    <mergeCell ref="M114:AA114"/>
    <mergeCell ref="AB114:AF114"/>
    <mergeCell ref="AG114:AJ114"/>
    <mergeCell ref="AK114:AN114"/>
    <mergeCell ref="AO114:AS114"/>
    <mergeCell ref="AT114:AW114"/>
    <mergeCell ref="AG113:AJ113"/>
    <mergeCell ref="AK113:AN113"/>
    <mergeCell ref="AO113:AS113"/>
    <mergeCell ref="AT113:BA113"/>
    <mergeCell ref="BB113:BD113"/>
    <mergeCell ref="BE113:BH113"/>
    <mergeCell ref="AT112:AW112"/>
    <mergeCell ref="AX112:BA112"/>
    <mergeCell ref="BB112:BD112"/>
    <mergeCell ref="BE112:BH112"/>
    <mergeCell ref="BI112:BW112"/>
    <mergeCell ref="C113:E113"/>
    <mergeCell ref="F113:I113"/>
    <mergeCell ref="J113:L113"/>
    <mergeCell ref="M113:AA113"/>
    <mergeCell ref="AB113:AF113"/>
    <mergeCell ref="BE111:BH111"/>
    <mergeCell ref="BI111:BW111"/>
    <mergeCell ref="C112:E112"/>
    <mergeCell ref="F112:I112"/>
    <mergeCell ref="J112:L112"/>
    <mergeCell ref="M112:AA112"/>
    <mergeCell ref="AB112:AF112"/>
    <mergeCell ref="AG112:AJ112"/>
    <mergeCell ref="AK112:AN112"/>
    <mergeCell ref="AO112:AS112"/>
    <mergeCell ref="AG111:AJ111"/>
    <mergeCell ref="AK111:AN111"/>
    <mergeCell ref="AO111:AS111"/>
    <mergeCell ref="AT111:AW111"/>
    <mergeCell ref="AX111:BA111"/>
    <mergeCell ref="BB111:BD111"/>
    <mergeCell ref="AT110:AW110"/>
    <mergeCell ref="AX110:BA110"/>
    <mergeCell ref="BB110:BD110"/>
    <mergeCell ref="BE110:BH110"/>
    <mergeCell ref="BI110:BW110"/>
    <mergeCell ref="C111:E111"/>
    <mergeCell ref="F111:I111"/>
    <mergeCell ref="J111:L111"/>
    <mergeCell ref="M111:AA111"/>
    <mergeCell ref="AB111:AF111"/>
    <mergeCell ref="BE109:BH109"/>
    <mergeCell ref="BI109:BW109"/>
    <mergeCell ref="C110:E110"/>
    <mergeCell ref="F110:I110"/>
    <mergeCell ref="J110:L110"/>
    <mergeCell ref="M110:AA110"/>
    <mergeCell ref="AB110:AF110"/>
    <mergeCell ref="AG110:AJ110"/>
    <mergeCell ref="AK110:AN110"/>
    <mergeCell ref="AO110:AS110"/>
    <mergeCell ref="AG109:AJ109"/>
    <mergeCell ref="AK109:AN109"/>
    <mergeCell ref="AO109:AS109"/>
    <mergeCell ref="AT109:AW109"/>
    <mergeCell ref="AX109:BA109"/>
    <mergeCell ref="BB109:BD109"/>
    <mergeCell ref="AO108:AS108"/>
    <mergeCell ref="AT108:BA108"/>
    <mergeCell ref="BB108:BD108"/>
    <mergeCell ref="BE108:BH108"/>
    <mergeCell ref="BI108:BW108"/>
    <mergeCell ref="C109:E109"/>
    <mergeCell ref="F109:I109"/>
    <mergeCell ref="J109:L109"/>
    <mergeCell ref="M109:AA109"/>
    <mergeCell ref="AB109:AF109"/>
    <mergeCell ref="BB107:BD107"/>
    <mergeCell ref="BE107:BH107"/>
    <mergeCell ref="BI107:BW107"/>
    <mergeCell ref="C108:E108"/>
    <mergeCell ref="F108:I108"/>
    <mergeCell ref="J108:L108"/>
    <mergeCell ref="M108:AA108"/>
    <mergeCell ref="AB108:AF108"/>
    <mergeCell ref="AG108:AJ108"/>
    <mergeCell ref="AK108:AN108"/>
    <mergeCell ref="BI106:BW106"/>
    <mergeCell ref="C107:E107"/>
    <mergeCell ref="F107:I107"/>
    <mergeCell ref="J107:L107"/>
    <mergeCell ref="M107:AA107"/>
    <mergeCell ref="AB107:AF107"/>
    <mergeCell ref="AG107:AJ107"/>
    <mergeCell ref="AK107:AN107"/>
    <mergeCell ref="AO107:AS107"/>
    <mergeCell ref="AT107:BA107"/>
    <mergeCell ref="AK106:AN106"/>
    <mergeCell ref="AO106:AS106"/>
    <mergeCell ref="AT106:AW106"/>
    <mergeCell ref="AX106:BA106"/>
    <mergeCell ref="BB106:BD106"/>
    <mergeCell ref="BE106:BH106"/>
    <mergeCell ref="AX105:BA105"/>
    <mergeCell ref="BB105:BD105"/>
    <mergeCell ref="BE105:BH105"/>
    <mergeCell ref="BI105:BW105"/>
    <mergeCell ref="C106:E106"/>
    <mergeCell ref="F106:I106"/>
    <mergeCell ref="J106:L106"/>
    <mergeCell ref="M106:AA106"/>
    <mergeCell ref="AB106:AF106"/>
    <mergeCell ref="AG106:AJ106"/>
    <mergeCell ref="BI104:BW104"/>
    <mergeCell ref="C105:E105"/>
    <mergeCell ref="F105:I105"/>
    <mergeCell ref="J105:L105"/>
    <mergeCell ref="M105:AA105"/>
    <mergeCell ref="AB105:AF105"/>
    <mergeCell ref="AG105:AJ105"/>
    <mergeCell ref="AK105:AN105"/>
    <mergeCell ref="AO105:AS105"/>
    <mergeCell ref="AT105:AW105"/>
    <mergeCell ref="AK104:AN104"/>
    <mergeCell ref="AO104:AS104"/>
    <mergeCell ref="AT104:AW104"/>
    <mergeCell ref="AX104:BA104"/>
    <mergeCell ref="BB104:BD104"/>
    <mergeCell ref="BE104:BH104"/>
    <mergeCell ref="AX103:BA103"/>
    <mergeCell ref="BB103:BD103"/>
    <mergeCell ref="BE103:BH103"/>
    <mergeCell ref="BI103:BW103"/>
    <mergeCell ref="C104:E104"/>
    <mergeCell ref="F104:I104"/>
    <mergeCell ref="J104:L104"/>
    <mergeCell ref="M104:AA104"/>
    <mergeCell ref="AB104:AF104"/>
    <mergeCell ref="AG104:AJ104"/>
    <mergeCell ref="BI102:BW102"/>
    <mergeCell ref="C103:E103"/>
    <mergeCell ref="F103:I103"/>
    <mergeCell ref="J103:L103"/>
    <mergeCell ref="M103:AA103"/>
    <mergeCell ref="AB103:AF103"/>
    <mergeCell ref="AG103:AJ103"/>
    <mergeCell ref="AK103:AN103"/>
    <mergeCell ref="AO103:AS103"/>
    <mergeCell ref="AT103:AW103"/>
    <mergeCell ref="AK102:AN102"/>
    <mergeCell ref="AO102:AS102"/>
    <mergeCell ref="AT102:AW102"/>
    <mergeCell ref="AX102:BA102"/>
    <mergeCell ref="BB102:BD102"/>
    <mergeCell ref="BE102:BH102"/>
    <mergeCell ref="AT101:BA101"/>
    <mergeCell ref="BB101:BD101"/>
    <mergeCell ref="BE101:BH101"/>
    <mergeCell ref="BI101:BW101"/>
    <mergeCell ref="C102:E102"/>
    <mergeCell ref="F102:I102"/>
    <mergeCell ref="J102:L102"/>
    <mergeCell ref="M102:AA102"/>
    <mergeCell ref="AB102:AF102"/>
    <mergeCell ref="AG102:AJ102"/>
    <mergeCell ref="M98:AA98"/>
    <mergeCell ref="AB98:AF98"/>
    <mergeCell ref="BE100:BH100"/>
    <mergeCell ref="BI100:BW100"/>
    <mergeCell ref="C101:E101"/>
    <mergeCell ref="F101:I101"/>
    <mergeCell ref="J101:L101"/>
    <mergeCell ref="M101:AA101"/>
    <mergeCell ref="AB101:AF101"/>
    <mergeCell ref="AG101:AJ101"/>
    <mergeCell ref="AK101:AN101"/>
    <mergeCell ref="AO101:AS101"/>
    <mergeCell ref="AG100:AJ100"/>
    <mergeCell ref="AK100:AN100"/>
    <mergeCell ref="AO100:AS100"/>
    <mergeCell ref="AT100:AW100"/>
    <mergeCell ref="AX100:BA100"/>
    <mergeCell ref="BB100:BD100"/>
    <mergeCell ref="AT99:AW99"/>
    <mergeCell ref="AX99:BA99"/>
    <mergeCell ref="BB99:BD99"/>
    <mergeCell ref="BE99:BH99"/>
    <mergeCell ref="C100:E100"/>
    <mergeCell ref="F100:I100"/>
    <mergeCell ref="J100:L100"/>
    <mergeCell ref="M100:AA100"/>
    <mergeCell ref="AB100:AF100"/>
    <mergeCell ref="BB95:BD95"/>
    <mergeCell ref="BE95:BH95"/>
    <mergeCell ref="BI95:BW95"/>
    <mergeCell ref="C96:E96"/>
    <mergeCell ref="F96:I96"/>
    <mergeCell ref="J96:L96"/>
    <mergeCell ref="M96:AA96"/>
    <mergeCell ref="AB96:AF96"/>
    <mergeCell ref="BE98:BH98"/>
    <mergeCell ref="BI98:BW98"/>
    <mergeCell ref="C99:E99"/>
    <mergeCell ref="F99:I99"/>
    <mergeCell ref="J99:L99"/>
    <mergeCell ref="M99:AA99"/>
    <mergeCell ref="AB99:AF99"/>
    <mergeCell ref="AG99:AJ99"/>
    <mergeCell ref="AK99:AN99"/>
    <mergeCell ref="AO99:AS99"/>
    <mergeCell ref="AG98:AJ98"/>
    <mergeCell ref="AK98:AN98"/>
    <mergeCell ref="AO98:AS98"/>
    <mergeCell ref="AT98:AW98"/>
    <mergeCell ref="AX98:BA98"/>
    <mergeCell ref="BB98:BD98"/>
    <mergeCell ref="AT97:AW97"/>
    <mergeCell ref="AX97:BA97"/>
    <mergeCell ref="C98:E98"/>
    <mergeCell ref="F98:I98"/>
    <mergeCell ref="J98:L98"/>
    <mergeCell ref="BI94:BW94"/>
    <mergeCell ref="C95:E95"/>
    <mergeCell ref="F95:I95"/>
    <mergeCell ref="J95:L95"/>
    <mergeCell ref="M95:AA95"/>
    <mergeCell ref="AG95:AJ95"/>
    <mergeCell ref="AK95:AN95"/>
    <mergeCell ref="F94:I94"/>
    <mergeCell ref="J94:L94"/>
    <mergeCell ref="M94:AA94"/>
    <mergeCell ref="AB94:AF95"/>
    <mergeCell ref="AG94:AN94"/>
    <mergeCell ref="AO94:AS95"/>
    <mergeCell ref="BI99:BW99"/>
    <mergeCell ref="AE88:AK88"/>
    <mergeCell ref="BE96:BH96"/>
    <mergeCell ref="BI96:BW96"/>
    <mergeCell ref="C97:E97"/>
    <mergeCell ref="F97:I97"/>
    <mergeCell ref="J97:L97"/>
    <mergeCell ref="M97:AA97"/>
    <mergeCell ref="AB97:AF97"/>
    <mergeCell ref="AG97:AJ97"/>
    <mergeCell ref="AK97:AN97"/>
    <mergeCell ref="AO97:AS97"/>
    <mergeCell ref="AG96:AJ96"/>
    <mergeCell ref="AK96:AN96"/>
    <mergeCell ref="AO96:AS96"/>
    <mergeCell ref="AT96:AW96"/>
    <mergeCell ref="AX96:BA96"/>
    <mergeCell ref="BB96:BD96"/>
    <mergeCell ref="AT95:AW95"/>
    <mergeCell ref="AX95:BA95"/>
    <mergeCell ref="BB97:BD97"/>
    <mergeCell ref="BE97:BH97"/>
    <mergeCell ref="BI97:BW97"/>
    <mergeCell ref="B92:B95"/>
    <mergeCell ref="C92:AN92"/>
    <mergeCell ref="AO92:BA92"/>
    <mergeCell ref="BB92:BW92"/>
    <mergeCell ref="C93:AA93"/>
    <mergeCell ref="AB93:AN93"/>
    <mergeCell ref="AO93:BA93"/>
    <mergeCell ref="BB93:BW93"/>
    <mergeCell ref="C94:E94"/>
    <mergeCell ref="C88:G88"/>
    <mergeCell ref="I88:L88"/>
    <mergeCell ref="M88:P88"/>
    <mergeCell ref="Q88:U88"/>
    <mergeCell ref="W88:Z88"/>
    <mergeCell ref="AA88:AD88"/>
    <mergeCell ref="AE86:AK86"/>
    <mergeCell ref="C87:G87"/>
    <mergeCell ref="I87:L87"/>
    <mergeCell ref="M87:P87"/>
    <mergeCell ref="Q87:U87"/>
    <mergeCell ref="W87:Z87"/>
    <mergeCell ref="AA87:AD87"/>
    <mergeCell ref="AE87:AK87"/>
    <mergeCell ref="C86:G86"/>
    <mergeCell ref="I86:L86"/>
    <mergeCell ref="M86:P86"/>
    <mergeCell ref="Q86:U86"/>
    <mergeCell ref="W86:Z86"/>
    <mergeCell ref="AA86:AD86"/>
    <mergeCell ref="AT94:BA94"/>
    <mergeCell ref="BB94:BD94"/>
    <mergeCell ref="BE94:BH94"/>
    <mergeCell ref="AE84:AK84"/>
    <mergeCell ref="C85:G85"/>
    <mergeCell ref="I85:L85"/>
    <mergeCell ref="M85:P85"/>
    <mergeCell ref="Q85:U85"/>
    <mergeCell ref="W85:Z85"/>
    <mergeCell ref="AA85:AD85"/>
    <mergeCell ref="AE85:AK85"/>
    <mergeCell ref="C84:G84"/>
    <mergeCell ref="I84:L84"/>
    <mergeCell ref="M84:P84"/>
    <mergeCell ref="Q84:U84"/>
    <mergeCell ref="W84:Z84"/>
    <mergeCell ref="AA84:AD84"/>
    <mergeCell ref="AE82:AK82"/>
    <mergeCell ref="C83:G83"/>
    <mergeCell ref="I83:L83"/>
    <mergeCell ref="M83:P83"/>
    <mergeCell ref="Q83:U83"/>
    <mergeCell ref="W83:Z83"/>
    <mergeCell ref="AA83:AD83"/>
    <mergeCell ref="AE83:AK83"/>
    <mergeCell ref="C82:G82"/>
    <mergeCell ref="I82:L82"/>
    <mergeCell ref="M82:P82"/>
    <mergeCell ref="Q82:U82"/>
    <mergeCell ref="W82:Z82"/>
    <mergeCell ref="AA82:AD82"/>
    <mergeCell ref="AE80:AK80"/>
    <mergeCell ref="C81:G81"/>
    <mergeCell ref="I81:L81"/>
    <mergeCell ref="M81:P81"/>
    <mergeCell ref="Q81:U81"/>
    <mergeCell ref="W81:Z81"/>
    <mergeCell ref="AA81:AD81"/>
    <mergeCell ref="AE81:AK81"/>
    <mergeCell ref="C80:G80"/>
    <mergeCell ref="I80:L80"/>
    <mergeCell ref="M80:P80"/>
    <mergeCell ref="Q80:U80"/>
    <mergeCell ref="W80:Z80"/>
    <mergeCell ref="AA80:AD80"/>
    <mergeCell ref="C79:G79"/>
    <mergeCell ref="I79:L79"/>
    <mergeCell ref="M79:P79"/>
    <mergeCell ref="Q79:U79"/>
    <mergeCell ref="W79:Z79"/>
    <mergeCell ref="AA79:AD79"/>
    <mergeCell ref="C78:G78"/>
    <mergeCell ref="I78:L78"/>
    <mergeCell ref="M78:P78"/>
    <mergeCell ref="Q78:U78"/>
    <mergeCell ref="W78:Z78"/>
    <mergeCell ref="AA78:AD78"/>
    <mergeCell ref="C77:G77"/>
    <mergeCell ref="I77:L77"/>
    <mergeCell ref="M77:P77"/>
    <mergeCell ref="Q77:U77"/>
    <mergeCell ref="W77:Z77"/>
    <mergeCell ref="AA77:AD77"/>
    <mergeCell ref="C76:G76"/>
    <mergeCell ref="I76:L76"/>
    <mergeCell ref="M76:P76"/>
    <mergeCell ref="Q76:U76"/>
    <mergeCell ref="W76:Z76"/>
    <mergeCell ref="AA76:AD76"/>
    <mergeCell ref="C75:G75"/>
    <mergeCell ref="I75:L75"/>
    <mergeCell ref="M75:P75"/>
    <mergeCell ref="Q75:U75"/>
    <mergeCell ref="W75:Z75"/>
    <mergeCell ref="AA75:AD75"/>
    <mergeCell ref="C74:G74"/>
    <mergeCell ref="I74:L74"/>
    <mergeCell ref="M74:P74"/>
    <mergeCell ref="Q74:U74"/>
    <mergeCell ref="W74:Z74"/>
    <mergeCell ref="AA74:AD74"/>
    <mergeCell ref="C73:G73"/>
    <mergeCell ref="I73:L73"/>
    <mergeCell ref="M73:P73"/>
    <mergeCell ref="Q73:U73"/>
    <mergeCell ref="W73:Z73"/>
    <mergeCell ref="AA73:AD73"/>
    <mergeCell ref="C72:G72"/>
    <mergeCell ref="I72:L72"/>
    <mergeCell ref="M72:P72"/>
    <mergeCell ref="Q72:U72"/>
    <mergeCell ref="W72:Z72"/>
    <mergeCell ref="AA72:AD72"/>
    <mergeCell ref="C71:G71"/>
    <mergeCell ref="I71:L71"/>
    <mergeCell ref="M71:P71"/>
    <mergeCell ref="Q71:U71"/>
    <mergeCell ref="W71:Z71"/>
    <mergeCell ref="AA71:AD71"/>
    <mergeCell ref="C70:G70"/>
    <mergeCell ref="I70:L70"/>
    <mergeCell ref="M70:P70"/>
    <mergeCell ref="Q70:U70"/>
    <mergeCell ref="W70:Z70"/>
    <mergeCell ref="AA70:AD70"/>
    <mergeCell ref="I64:L64"/>
    <mergeCell ref="M64:P64"/>
    <mergeCell ref="Q64:U64"/>
    <mergeCell ref="W64:Z64"/>
    <mergeCell ref="AA64:AD64"/>
    <mergeCell ref="C69:G69"/>
    <mergeCell ref="I69:L69"/>
    <mergeCell ref="M69:P69"/>
    <mergeCell ref="Q69:U69"/>
    <mergeCell ref="W69:Z69"/>
    <mergeCell ref="AA69:AD69"/>
    <mergeCell ref="C68:G68"/>
    <mergeCell ref="I68:L68"/>
    <mergeCell ref="M68:P68"/>
    <mergeCell ref="Q68:U68"/>
    <mergeCell ref="W68:Z68"/>
    <mergeCell ref="AA68:AD68"/>
    <mergeCell ref="C67:G67"/>
    <mergeCell ref="I67:L67"/>
    <mergeCell ref="M67:P67"/>
    <mergeCell ref="Q67:U67"/>
    <mergeCell ref="W67:Z67"/>
    <mergeCell ref="AA67:AD67"/>
    <mergeCell ref="Q62:U62"/>
    <mergeCell ref="W62:Z62"/>
    <mergeCell ref="AA62:AD62"/>
    <mergeCell ref="C63:G63"/>
    <mergeCell ref="I63:L63"/>
    <mergeCell ref="M63:P63"/>
    <mergeCell ref="Q63:U63"/>
    <mergeCell ref="W63:Z63"/>
    <mergeCell ref="AA63:AD63"/>
    <mergeCell ref="AE60:AK79"/>
    <mergeCell ref="C61:G61"/>
    <mergeCell ref="I61:L61"/>
    <mergeCell ref="M61:P61"/>
    <mergeCell ref="Q61:U61"/>
    <mergeCell ref="W61:Z61"/>
    <mergeCell ref="AA61:AD61"/>
    <mergeCell ref="C62:G62"/>
    <mergeCell ref="I62:L62"/>
    <mergeCell ref="M62:P62"/>
    <mergeCell ref="C66:G66"/>
    <mergeCell ref="I66:L66"/>
    <mergeCell ref="M66:P66"/>
    <mergeCell ref="Q66:U66"/>
    <mergeCell ref="W66:Z66"/>
    <mergeCell ref="AA66:AD66"/>
    <mergeCell ref="C65:G65"/>
    <mergeCell ref="I65:L65"/>
    <mergeCell ref="M65:P65"/>
    <mergeCell ref="Q65:U65"/>
    <mergeCell ref="W65:Z65"/>
    <mergeCell ref="AA65:AD65"/>
    <mergeCell ref="C64:G64"/>
    <mergeCell ref="Q59:U59"/>
    <mergeCell ref="W59:Z59"/>
    <mergeCell ref="AA59:AD59"/>
    <mergeCell ref="C60:G60"/>
    <mergeCell ref="I60:L60"/>
    <mergeCell ref="M60:P60"/>
    <mergeCell ref="Q60:U60"/>
    <mergeCell ref="W60:Z60"/>
    <mergeCell ref="AA60:AD60"/>
    <mergeCell ref="AE57:AK59"/>
    <mergeCell ref="C58:G58"/>
    <mergeCell ref="I58:L58"/>
    <mergeCell ref="M58:P58"/>
    <mergeCell ref="Q58:U58"/>
    <mergeCell ref="W58:Z58"/>
    <mergeCell ref="AA58:AD58"/>
    <mergeCell ref="C59:G59"/>
    <mergeCell ref="I59:L59"/>
    <mergeCell ref="M59:P59"/>
    <mergeCell ref="C57:G57"/>
    <mergeCell ref="I57:L57"/>
    <mergeCell ref="M57:P57"/>
    <mergeCell ref="Q57:U57"/>
    <mergeCell ref="W57:Z57"/>
    <mergeCell ref="AA57:AD57"/>
    <mergeCell ref="AE55:AK55"/>
    <mergeCell ref="C56:G56"/>
    <mergeCell ref="I56:L56"/>
    <mergeCell ref="M56:P56"/>
    <mergeCell ref="Q56:U56"/>
    <mergeCell ref="W56:Z56"/>
    <mergeCell ref="AA56:AD56"/>
    <mergeCell ref="AE56:AK56"/>
    <mergeCell ref="C55:G55"/>
    <mergeCell ref="I55:L55"/>
    <mergeCell ref="M55:P55"/>
    <mergeCell ref="Q55:U55"/>
    <mergeCell ref="W55:Z55"/>
    <mergeCell ref="AA55:AD55"/>
    <mergeCell ref="AE53:AK53"/>
    <mergeCell ref="C54:G54"/>
    <mergeCell ref="I54:L54"/>
    <mergeCell ref="M54:P54"/>
    <mergeCell ref="Q54:U54"/>
    <mergeCell ref="W54:Z54"/>
    <mergeCell ref="AA54:AD54"/>
    <mergeCell ref="AE54:AK54"/>
    <mergeCell ref="C53:G53"/>
    <mergeCell ref="I53:L53"/>
    <mergeCell ref="M53:P53"/>
    <mergeCell ref="Q53:U53"/>
    <mergeCell ref="W53:Z53"/>
    <mergeCell ref="AA53:AD53"/>
    <mergeCell ref="AE51:AK51"/>
    <mergeCell ref="C52:G52"/>
    <mergeCell ref="I52:L52"/>
    <mergeCell ref="M52:P52"/>
    <mergeCell ref="Q52:U52"/>
    <mergeCell ref="W52:Z52"/>
    <mergeCell ref="AA52:AD52"/>
    <mergeCell ref="AE52:AK52"/>
    <mergeCell ref="C51:G51"/>
    <mergeCell ref="I51:L51"/>
    <mergeCell ref="M51:P51"/>
    <mergeCell ref="Q51:U51"/>
    <mergeCell ref="W51:Z51"/>
    <mergeCell ref="AA51:AD51"/>
    <mergeCell ref="AE49:AK49"/>
    <mergeCell ref="C50:G50"/>
    <mergeCell ref="I50:L50"/>
    <mergeCell ref="M50:P50"/>
    <mergeCell ref="Q50:U50"/>
    <mergeCell ref="W50:Z50"/>
    <mergeCell ref="AA50:AD50"/>
    <mergeCell ref="AE50:AK50"/>
    <mergeCell ref="C49:G49"/>
    <mergeCell ref="I49:L49"/>
    <mergeCell ref="M49:P49"/>
    <mergeCell ref="Q49:U49"/>
    <mergeCell ref="W49:Z49"/>
    <mergeCell ref="AA49:AD49"/>
    <mergeCell ref="AE47:AK47"/>
    <mergeCell ref="C48:G48"/>
    <mergeCell ref="I48:L48"/>
    <mergeCell ref="M48:P48"/>
    <mergeCell ref="Q48:U48"/>
    <mergeCell ref="W48:Z48"/>
    <mergeCell ref="AA48:AD48"/>
    <mergeCell ref="AE48:AK48"/>
    <mergeCell ref="C47:G47"/>
    <mergeCell ref="I47:L47"/>
    <mergeCell ref="M47:P47"/>
    <mergeCell ref="Q47:U47"/>
    <mergeCell ref="W47:Z47"/>
    <mergeCell ref="AA47:AD47"/>
    <mergeCell ref="AE45:AK45"/>
    <mergeCell ref="C46:G46"/>
    <mergeCell ref="I46:L46"/>
    <mergeCell ref="M46:P46"/>
    <mergeCell ref="Q46:U46"/>
    <mergeCell ref="W46:Z46"/>
    <mergeCell ref="AA46:AD46"/>
    <mergeCell ref="AE46:AK46"/>
    <mergeCell ref="C45:G45"/>
    <mergeCell ref="I45:L45"/>
    <mergeCell ref="M45:P45"/>
    <mergeCell ref="Q45:U45"/>
    <mergeCell ref="W45:Z45"/>
    <mergeCell ref="AA45:AD45"/>
    <mergeCell ref="AE43:AK43"/>
    <mergeCell ref="C44:G44"/>
    <mergeCell ref="I44:L44"/>
    <mergeCell ref="M44:P44"/>
    <mergeCell ref="Q44:U44"/>
    <mergeCell ref="W44:Z44"/>
    <mergeCell ref="AA44:AD44"/>
    <mergeCell ref="AE44:AK44"/>
    <mergeCell ref="C43:G43"/>
    <mergeCell ref="I43:L43"/>
    <mergeCell ref="M43:P43"/>
    <mergeCell ref="Q43:U43"/>
    <mergeCell ref="W43:Z43"/>
    <mergeCell ref="AA43:AD43"/>
    <mergeCell ref="AE41:AK41"/>
    <mergeCell ref="C42:G42"/>
    <mergeCell ref="I42:L42"/>
    <mergeCell ref="M42:P42"/>
    <mergeCell ref="Q42:U42"/>
    <mergeCell ref="W42:Z42"/>
    <mergeCell ref="AA42:AD42"/>
    <mergeCell ref="AE42:AK42"/>
    <mergeCell ref="C41:G41"/>
    <mergeCell ref="I41:L41"/>
    <mergeCell ref="M41:P41"/>
    <mergeCell ref="Q41:U41"/>
    <mergeCell ref="W41:Z41"/>
    <mergeCell ref="AA41:AD41"/>
    <mergeCell ref="AE39:AK39"/>
    <mergeCell ref="C40:G40"/>
    <mergeCell ref="I40:L40"/>
    <mergeCell ref="M40:P40"/>
    <mergeCell ref="Q40:U40"/>
    <mergeCell ref="W40:Z40"/>
    <mergeCell ref="AA40:AD40"/>
    <mergeCell ref="AE40:AK40"/>
    <mergeCell ref="C39:G39"/>
    <mergeCell ref="I39:L39"/>
    <mergeCell ref="M39:P39"/>
    <mergeCell ref="Q39:U39"/>
    <mergeCell ref="W39:Z39"/>
    <mergeCell ref="AA39:AD39"/>
    <mergeCell ref="AE37:AK37"/>
    <mergeCell ref="C38:G38"/>
    <mergeCell ref="I38:L38"/>
    <mergeCell ref="M38:P38"/>
    <mergeCell ref="Q38:U38"/>
    <mergeCell ref="W38:Z38"/>
    <mergeCell ref="AA38:AD38"/>
    <mergeCell ref="AE38:AK38"/>
    <mergeCell ref="C37:G37"/>
    <mergeCell ref="I37:L37"/>
    <mergeCell ref="M37:P37"/>
    <mergeCell ref="Q37:U37"/>
    <mergeCell ref="W37:Z37"/>
    <mergeCell ref="AA37:AD37"/>
    <mergeCell ref="AE35:AK35"/>
    <mergeCell ref="C36:G36"/>
    <mergeCell ref="I36:L36"/>
    <mergeCell ref="M36:P36"/>
    <mergeCell ref="Q36:U36"/>
    <mergeCell ref="W36:Z36"/>
    <mergeCell ref="AA36:AD36"/>
    <mergeCell ref="AE36:AK36"/>
    <mergeCell ref="C35:G35"/>
    <mergeCell ref="I35:L35"/>
    <mergeCell ref="M35:P35"/>
    <mergeCell ref="Q35:U35"/>
    <mergeCell ref="W35:Z35"/>
    <mergeCell ref="AA35:AD35"/>
    <mergeCell ref="AE33:AK33"/>
    <mergeCell ref="C34:G34"/>
    <mergeCell ref="I34:L34"/>
    <mergeCell ref="M34:P34"/>
    <mergeCell ref="Q34:U34"/>
    <mergeCell ref="W34:Z34"/>
    <mergeCell ref="AA34:AD34"/>
    <mergeCell ref="AE34:AK34"/>
    <mergeCell ref="C33:G33"/>
    <mergeCell ref="I33:L33"/>
    <mergeCell ref="M33:P33"/>
    <mergeCell ref="Q33:U33"/>
    <mergeCell ref="W33:Z33"/>
    <mergeCell ref="AA33:AD33"/>
    <mergeCell ref="AE31:AK31"/>
    <mergeCell ref="C32:G32"/>
    <mergeCell ref="I32:L32"/>
    <mergeCell ref="M32:P32"/>
    <mergeCell ref="Q32:U32"/>
    <mergeCell ref="W32:Z32"/>
    <mergeCell ref="AA32:AD32"/>
    <mergeCell ref="AE32:AK32"/>
    <mergeCell ref="C31:G31"/>
    <mergeCell ref="I31:L31"/>
    <mergeCell ref="M31:P31"/>
    <mergeCell ref="Q31:U31"/>
    <mergeCell ref="W31:Z31"/>
    <mergeCell ref="AA31:AD31"/>
    <mergeCell ref="AE29:AK29"/>
    <mergeCell ref="C30:G30"/>
    <mergeCell ref="I30:L30"/>
    <mergeCell ref="M30:P30"/>
    <mergeCell ref="Q30:U30"/>
    <mergeCell ref="W30:AD30"/>
    <mergeCell ref="AE30:AK30"/>
    <mergeCell ref="C29:G29"/>
    <mergeCell ref="I29:L29"/>
    <mergeCell ref="M29:P29"/>
    <mergeCell ref="Q29:U29"/>
    <mergeCell ref="W29:Z29"/>
    <mergeCell ref="AA29:AD29"/>
    <mergeCell ref="AE27:AK27"/>
    <mergeCell ref="C28:G28"/>
    <mergeCell ref="I28:L28"/>
    <mergeCell ref="M28:P28"/>
    <mergeCell ref="Q28:U28"/>
    <mergeCell ref="W28:Z28"/>
    <mergeCell ref="AA28:AD28"/>
    <mergeCell ref="AE28:AK28"/>
    <mergeCell ref="I26:L26"/>
    <mergeCell ref="M26:P26"/>
    <mergeCell ref="W26:Z26"/>
    <mergeCell ref="AA26:AD26"/>
    <mergeCell ref="C27:G27"/>
    <mergeCell ref="I27:L27"/>
    <mergeCell ref="M27:P27"/>
    <mergeCell ref="Q27:U27"/>
    <mergeCell ref="W27:Z27"/>
    <mergeCell ref="AA27:AD27"/>
    <mergeCell ref="B23:B26"/>
    <mergeCell ref="C23:P23"/>
    <mergeCell ref="Q23:AD23"/>
    <mergeCell ref="AE23:AK26"/>
    <mergeCell ref="C24:P24"/>
    <mergeCell ref="Q24:AD24"/>
    <mergeCell ref="C25:G26"/>
    <mergeCell ref="H25:P25"/>
    <mergeCell ref="Q25:U26"/>
    <mergeCell ref="V25:AD25"/>
    <mergeCell ref="F18:I18"/>
    <mergeCell ref="J18:L18"/>
    <mergeCell ref="M18:AA18"/>
    <mergeCell ref="AG18:AI18"/>
    <mergeCell ref="AJ18:AM18"/>
    <mergeCell ref="AN18:AQ18"/>
    <mergeCell ref="F17:I17"/>
    <mergeCell ref="J17:L17"/>
    <mergeCell ref="M17:AA17"/>
    <mergeCell ref="AG17:AI17"/>
    <mergeCell ref="AJ17:AM17"/>
    <mergeCell ref="AN17:AQ17"/>
    <mergeCell ref="C14:E18"/>
    <mergeCell ref="F16:I16"/>
    <mergeCell ref="J16:L16"/>
    <mergeCell ref="M16:AA16"/>
    <mergeCell ref="AG16:AI16"/>
    <mergeCell ref="AJ16:AM16"/>
    <mergeCell ref="AN16:AQ16"/>
    <mergeCell ref="AR14:AT14"/>
    <mergeCell ref="F15:I15"/>
    <mergeCell ref="J15:L15"/>
    <mergeCell ref="M15:AA15"/>
    <mergeCell ref="AB15:AF15"/>
    <mergeCell ref="AG15:AI15"/>
    <mergeCell ref="AJ15:AM15"/>
    <mergeCell ref="AN15:AQ15"/>
    <mergeCell ref="AR15:AT15"/>
    <mergeCell ref="AN13:AQ13"/>
    <mergeCell ref="AR13:AT13"/>
    <mergeCell ref="F14:I14"/>
    <mergeCell ref="J14:L14"/>
    <mergeCell ref="M14:AA14"/>
    <mergeCell ref="AB14:AF14"/>
    <mergeCell ref="AG14:AI14"/>
    <mergeCell ref="AJ14:AM14"/>
    <mergeCell ref="AN14:AQ14"/>
    <mergeCell ref="F13:I13"/>
    <mergeCell ref="J13:L13"/>
    <mergeCell ref="M13:AA13"/>
    <mergeCell ref="AB13:AF13"/>
    <mergeCell ref="AG13:AI13"/>
    <mergeCell ref="AJ13:AM13"/>
    <mergeCell ref="AJ8:AM8"/>
    <mergeCell ref="AN8:AQ8"/>
    <mergeCell ref="AR8:AT8"/>
    <mergeCell ref="AR11:AT11"/>
    <mergeCell ref="F12:I12"/>
    <mergeCell ref="J12:L12"/>
    <mergeCell ref="M12:AA12"/>
    <mergeCell ref="AB12:AF12"/>
    <mergeCell ref="AG12:AI12"/>
    <mergeCell ref="AJ12:AM12"/>
    <mergeCell ref="AN12:AQ12"/>
    <mergeCell ref="AR12:AT12"/>
    <mergeCell ref="AN10:AQ10"/>
    <mergeCell ref="AR10:AT10"/>
    <mergeCell ref="C11:E13"/>
    <mergeCell ref="F11:I11"/>
    <mergeCell ref="J11:L11"/>
    <mergeCell ref="M11:AA11"/>
    <mergeCell ref="AB11:AF11"/>
    <mergeCell ref="AG11:AI11"/>
    <mergeCell ref="AJ11:AM11"/>
    <mergeCell ref="AN11:AQ11"/>
    <mergeCell ref="B5:B8"/>
    <mergeCell ref="C5:AA5"/>
    <mergeCell ref="AB5:AT5"/>
    <mergeCell ref="C6:AA6"/>
    <mergeCell ref="AB6:AT6"/>
    <mergeCell ref="C7:E7"/>
    <mergeCell ref="F7:I7"/>
    <mergeCell ref="J7:L7"/>
    <mergeCell ref="M7:AA7"/>
    <mergeCell ref="AB7:AF8"/>
    <mergeCell ref="AJ9:AM9"/>
    <mergeCell ref="AN9:AQ9"/>
    <mergeCell ref="AR9:AT9"/>
    <mergeCell ref="C10:E10"/>
    <mergeCell ref="F10:I10"/>
    <mergeCell ref="J10:L10"/>
    <mergeCell ref="M10:AA10"/>
    <mergeCell ref="AB10:AF10"/>
    <mergeCell ref="AG10:AI10"/>
    <mergeCell ref="AJ10:AM10"/>
    <mergeCell ref="C9:E9"/>
    <mergeCell ref="F9:I9"/>
    <mergeCell ref="J9:L9"/>
    <mergeCell ref="M9:AA9"/>
    <mergeCell ref="AB9:AF9"/>
    <mergeCell ref="AG9:AI9"/>
    <mergeCell ref="AG7:AI8"/>
    <mergeCell ref="AJ7:AT7"/>
    <mergeCell ref="C8:E8"/>
    <mergeCell ref="F8:I8"/>
    <mergeCell ref="J8:L8"/>
    <mergeCell ref="M8:AA8"/>
  </mergeCells>
  <phoneticPr fontId="11"/>
  <hyperlinks>
    <hyperlink ref="F131" r:id="rId1"/>
    <hyperlink ref="Q131" r:id="rId2"/>
    <hyperlink ref="F132" r:id="rId3"/>
    <hyperlink ref="Q132" r:id="rId4"/>
    <hyperlink ref="F133" r:id="rId5"/>
    <hyperlink ref="Q133" r:id="rId6"/>
    <hyperlink ref="F135" r:id="rId7"/>
    <hyperlink ref="Q135" r:id="rId8"/>
    <hyperlink ref="F139" r:id="rId9"/>
    <hyperlink ref="Q139" r:id="rId10"/>
    <hyperlink ref="F136" r:id="rId11"/>
    <hyperlink ref="F137" r:id="rId12"/>
    <hyperlink ref="Q136" r:id="rId13"/>
    <hyperlink ref="Q137" r:id="rId14"/>
    <hyperlink ref="F138" r:id="rId15"/>
    <hyperlink ref="Q138" r:id="rId16"/>
    <hyperlink ref="F140" r:id="rId17"/>
    <hyperlink ref="F141" r:id="rId18"/>
    <hyperlink ref="F142" r:id="rId19"/>
    <hyperlink ref="Q140" r:id="rId20"/>
    <hyperlink ref="Q141" r:id="rId21"/>
    <hyperlink ref="Q142" r:id="rId22"/>
    <hyperlink ref="F143" r:id="rId23"/>
    <hyperlink ref="Q143" r:id="rId24"/>
    <hyperlink ref="F144" r:id="rId25"/>
    <hyperlink ref="Q144" r:id="rId26"/>
    <hyperlink ref="F148" r:id="rId27"/>
    <hyperlink ref="Q148" r:id="rId28"/>
    <hyperlink ref="F145" r:id="rId29"/>
    <hyperlink ref="F146" r:id="rId30"/>
    <hyperlink ref="Q145" r:id="rId31"/>
    <hyperlink ref="Q146" r:id="rId32"/>
    <hyperlink ref="F147" r:id="rId33"/>
    <hyperlink ref="Q147" r:id="rId34"/>
    <hyperlink ref="F149" r:id="rId35"/>
    <hyperlink ref="F150" r:id="rId36"/>
    <hyperlink ref="Q149" r:id="rId37"/>
    <hyperlink ref="Q150" r:id="rId38"/>
    <hyperlink ref="F134" r:id="rId39"/>
    <hyperlink ref="Q134" r:id="rId40"/>
  </hyperlinks>
  <pageMargins left="0.7" right="0.7" top="0.75" bottom="0.75" header="0.3" footer="0.3"/>
  <pageSetup paperSize="9" orientation="portrait" r:id="rId41"/>
  <legacyDrawing r:id="rId4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V197"/>
  <sheetViews>
    <sheetView showGridLines="0" topLeftCell="AL112" zoomScale="85" zoomScaleNormal="85" workbookViewId="0">
      <selection activeCell="BJ135" sqref="BJ134:BJ135"/>
    </sheetView>
  </sheetViews>
  <sheetFormatPr defaultColWidth="4.6328125" defaultRowHeight="17" customHeight="1"/>
  <cols>
    <col min="2" max="2" width="5" customWidth="1"/>
  </cols>
  <sheetData>
    <row r="1" spans="1:37" ht="17" customHeight="1">
      <c r="A1" s="3" t="s">
        <v>165</v>
      </c>
    </row>
    <row r="3" spans="1:37" ht="17" customHeight="1">
      <c r="B3" t="s">
        <v>398</v>
      </c>
    </row>
    <row r="4" spans="1:37" ht="17" customHeight="1">
      <c r="B4" s="454" t="s">
        <v>173</v>
      </c>
      <c r="C4" s="486" t="s">
        <v>176</v>
      </c>
      <c r="D4" s="486"/>
      <c r="E4" s="486"/>
      <c r="F4" s="486"/>
      <c r="G4" s="486"/>
      <c r="H4" s="486"/>
      <c r="I4" s="486"/>
      <c r="J4" s="486"/>
      <c r="K4" s="486"/>
      <c r="M4" s="454" t="s">
        <v>173</v>
      </c>
      <c r="N4" s="198" t="s">
        <v>207</v>
      </c>
      <c r="O4" s="199"/>
      <c r="P4" s="199"/>
      <c r="Q4" s="199"/>
      <c r="R4" s="199"/>
      <c r="S4" s="199"/>
      <c r="T4" s="199"/>
      <c r="U4" s="199"/>
      <c r="V4" s="199"/>
      <c r="W4" s="199"/>
      <c r="X4" s="199"/>
      <c r="Y4" s="199"/>
      <c r="Z4" s="199"/>
      <c r="AA4" s="199"/>
      <c r="AB4" s="199"/>
      <c r="AC4" s="199"/>
      <c r="AD4" s="200"/>
    </row>
    <row r="5" spans="1:37" ht="17" customHeight="1">
      <c r="B5" s="454"/>
      <c r="C5" s="312" t="s">
        <v>62</v>
      </c>
      <c r="D5" s="313"/>
      <c r="E5" s="313"/>
      <c r="F5" s="314"/>
      <c r="G5" s="458" t="s">
        <v>178</v>
      </c>
      <c r="H5" s="459"/>
      <c r="I5" s="459"/>
      <c r="J5" s="459"/>
      <c r="K5" s="460"/>
      <c r="M5" s="454"/>
      <c r="N5" s="312" t="s">
        <v>62</v>
      </c>
      <c r="O5" s="313"/>
      <c r="P5" s="313"/>
      <c r="Q5" s="314"/>
      <c r="R5" s="312" t="s">
        <v>208</v>
      </c>
      <c r="S5" s="313"/>
      <c r="T5" s="314"/>
      <c r="U5" s="458" t="s">
        <v>211</v>
      </c>
      <c r="V5" s="459"/>
      <c r="W5" s="459"/>
      <c r="X5" s="459"/>
      <c r="Y5" s="460"/>
      <c r="Z5" s="458" t="s">
        <v>210</v>
      </c>
      <c r="AA5" s="459"/>
      <c r="AB5" s="459"/>
      <c r="AC5" s="459"/>
      <c r="AD5" s="460"/>
    </row>
    <row r="6" spans="1:37" ht="17" customHeight="1">
      <c r="B6" s="454"/>
      <c r="C6" s="309" t="s">
        <v>63</v>
      </c>
      <c r="D6" s="310"/>
      <c r="E6" s="310"/>
      <c r="F6" s="311"/>
      <c r="G6" s="309" t="s">
        <v>177</v>
      </c>
      <c r="H6" s="310"/>
      <c r="I6" s="310"/>
      <c r="J6" s="310"/>
      <c r="K6" s="311"/>
      <c r="M6" s="454"/>
      <c r="N6" s="309" t="s">
        <v>63</v>
      </c>
      <c r="O6" s="310"/>
      <c r="P6" s="310"/>
      <c r="Q6" s="311"/>
      <c r="R6" s="309" t="s">
        <v>209</v>
      </c>
      <c r="S6" s="310"/>
      <c r="T6" s="311"/>
      <c r="U6" s="309" t="s">
        <v>212</v>
      </c>
      <c r="V6" s="310"/>
      <c r="W6" s="310"/>
      <c r="X6" s="310"/>
      <c r="Y6" s="311"/>
      <c r="Z6" s="309" t="s">
        <v>213</v>
      </c>
      <c r="AA6" s="310"/>
      <c r="AB6" s="310"/>
      <c r="AC6" s="310"/>
      <c r="AD6" s="311"/>
    </row>
    <row r="7" spans="1:37" ht="17" customHeight="1">
      <c r="B7" s="39">
        <v>1</v>
      </c>
      <c r="C7" s="411" t="s">
        <v>68</v>
      </c>
      <c r="D7" s="412"/>
      <c r="E7" s="412"/>
      <c r="F7" s="413"/>
      <c r="G7" s="207">
        <v>10</v>
      </c>
      <c r="H7" s="208"/>
      <c r="I7" s="208"/>
      <c r="J7" s="208"/>
      <c r="K7" s="209"/>
      <c r="M7" s="39">
        <v>1</v>
      </c>
      <c r="N7" s="411" t="s">
        <v>68</v>
      </c>
      <c r="O7" s="412"/>
      <c r="P7" s="412"/>
      <c r="Q7" s="413"/>
      <c r="R7" s="456">
        <v>10</v>
      </c>
      <c r="S7" s="457"/>
      <c r="T7" s="464"/>
      <c r="U7" s="207" t="s">
        <v>214</v>
      </c>
      <c r="V7" s="208"/>
      <c r="W7" s="208"/>
      <c r="X7" s="208"/>
      <c r="Y7" s="209"/>
      <c r="Z7" s="207" t="s">
        <v>214</v>
      </c>
      <c r="AA7" s="208"/>
      <c r="AB7" s="208"/>
      <c r="AC7" s="208"/>
      <c r="AD7" s="209"/>
    </row>
    <row r="8" spans="1:37" ht="17" customHeight="1">
      <c r="B8" s="35"/>
      <c r="C8" s="55"/>
      <c r="D8" s="55"/>
      <c r="E8" s="55"/>
      <c r="F8" s="55"/>
      <c r="G8" s="35"/>
      <c r="H8" s="35"/>
      <c r="I8" s="35"/>
      <c r="J8" s="35"/>
      <c r="K8" s="35"/>
      <c r="M8" s="39">
        <v>2</v>
      </c>
      <c r="N8" s="411" t="s">
        <v>68</v>
      </c>
      <c r="O8" s="412"/>
      <c r="P8" s="412"/>
      <c r="Q8" s="413"/>
      <c r="R8" s="456">
        <v>11</v>
      </c>
      <c r="S8" s="457"/>
      <c r="T8" s="464"/>
      <c r="U8" s="207" t="s">
        <v>216</v>
      </c>
      <c r="V8" s="208"/>
      <c r="W8" s="208"/>
      <c r="X8" s="208"/>
      <c r="Y8" s="209"/>
      <c r="Z8" s="207" t="s">
        <v>215</v>
      </c>
      <c r="AA8" s="208"/>
      <c r="AB8" s="208"/>
      <c r="AC8" s="208"/>
      <c r="AD8" s="209"/>
    </row>
    <row r="10" spans="1:37" ht="17" customHeight="1">
      <c r="B10" s="454" t="s">
        <v>173</v>
      </c>
      <c r="C10" s="50" t="s">
        <v>179</v>
      </c>
      <c r="D10" s="51"/>
      <c r="E10" s="51"/>
      <c r="F10" s="51"/>
      <c r="G10" s="51"/>
      <c r="H10" s="51"/>
      <c r="I10" s="51"/>
      <c r="J10" s="51"/>
      <c r="K10" s="51"/>
      <c r="L10" s="51"/>
      <c r="M10" s="51"/>
      <c r="N10" s="51"/>
      <c r="O10" s="51"/>
      <c r="P10" s="51"/>
      <c r="Q10" s="52"/>
      <c r="S10" s="454" t="s">
        <v>173</v>
      </c>
      <c r="T10" s="198" t="s">
        <v>197</v>
      </c>
      <c r="U10" s="199"/>
      <c r="V10" s="199"/>
      <c r="W10" s="199"/>
      <c r="X10" s="199"/>
      <c r="Y10" s="199"/>
      <c r="Z10" s="199"/>
      <c r="AA10" s="199"/>
      <c r="AB10" s="199"/>
      <c r="AC10" s="199"/>
      <c r="AD10" s="199"/>
      <c r="AE10" s="199"/>
      <c r="AF10" s="199"/>
      <c r="AG10" s="199"/>
      <c r="AH10" s="199"/>
      <c r="AI10" s="199"/>
      <c r="AJ10" s="199"/>
      <c r="AK10" s="200"/>
    </row>
    <row r="11" spans="1:37" ht="17" customHeight="1">
      <c r="B11" s="454"/>
      <c r="C11" s="312" t="s">
        <v>62</v>
      </c>
      <c r="D11" s="313"/>
      <c r="E11" s="313"/>
      <c r="F11" s="314"/>
      <c r="G11" s="312" t="s">
        <v>182</v>
      </c>
      <c r="H11" s="313"/>
      <c r="I11" s="314"/>
      <c r="J11" s="458" t="s">
        <v>180</v>
      </c>
      <c r="K11" s="459"/>
      <c r="L11" s="459"/>
      <c r="M11" s="459"/>
      <c r="N11" s="460"/>
      <c r="O11" s="312" t="s">
        <v>184</v>
      </c>
      <c r="P11" s="313"/>
      <c r="Q11" s="314"/>
      <c r="S11" s="454"/>
      <c r="T11" s="312" t="s">
        <v>62</v>
      </c>
      <c r="U11" s="313"/>
      <c r="V11" s="313"/>
      <c r="W11" s="314"/>
      <c r="X11" s="312" t="s">
        <v>189</v>
      </c>
      <c r="Y11" s="313"/>
      <c r="Z11" s="314"/>
      <c r="AA11" s="458" t="s">
        <v>191</v>
      </c>
      <c r="AB11" s="459"/>
      <c r="AC11" s="459"/>
      <c r="AD11" s="459"/>
      <c r="AE11" s="460"/>
      <c r="AF11" s="312" t="s">
        <v>182</v>
      </c>
      <c r="AG11" s="313"/>
      <c r="AH11" s="314"/>
      <c r="AI11" s="312" t="s">
        <v>184</v>
      </c>
      <c r="AJ11" s="313"/>
      <c r="AK11" s="314"/>
    </row>
    <row r="12" spans="1:37" ht="17" customHeight="1">
      <c r="B12" s="454"/>
      <c r="C12" s="309" t="s">
        <v>63</v>
      </c>
      <c r="D12" s="310"/>
      <c r="E12" s="310"/>
      <c r="F12" s="311"/>
      <c r="G12" s="309" t="s">
        <v>183</v>
      </c>
      <c r="H12" s="310"/>
      <c r="I12" s="311"/>
      <c r="J12" s="309" t="s">
        <v>181</v>
      </c>
      <c r="K12" s="310"/>
      <c r="L12" s="310"/>
      <c r="M12" s="310"/>
      <c r="N12" s="311"/>
      <c r="O12" s="309" t="s">
        <v>185</v>
      </c>
      <c r="P12" s="310"/>
      <c r="Q12" s="311"/>
      <c r="S12" s="454"/>
      <c r="T12" s="309" t="s">
        <v>63</v>
      </c>
      <c r="U12" s="310"/>
      <c r="V12" s="310"/>
      <c r="W12" s="311"/>
      <c r="X12" s="309" t="s">
        <v>190</v>
      </c>
      <c r="Y12" s="310"/>
      <c r="Z12" s="311"/>
      <c r="AA12" s="309" t="s">
        <v>192</v>
      </c>
      <c r="AB12" s="310"/>
      <c r="AC12" s="310"/>
      <c r="AD12" s="310"/>
      <c r="AE12" s="311"/>
      <c r="AF12" s="309" t="s">
        <v>183</v>
      </c>
      <c r="AG12" s="310"/>
      <c r="AH12" s="311"/>
      <c r="AI12" s="309" t="s">
        <v>185</v>
      </c>
      <c r="AJ12" s="310"/>
      <c r="AK12" s="311"/>
    </row>
    <row r="13" spans="1:37" ht="17" customHeight="1">
      <c r="B13" s="39">
        <v>1</v>
      </c>
      <c r="C13" s="411" t="s">
        <v>68</v>
      </c>
      <c r="D13" s="412"/>
      <c r="E13" s="412"/>
      <c r="F13" s="413"/>
      <c r="G13" s="456">
        <v>10</v>
      </c>
      <c r="H13" s="457"/>
      <c r="I13" s="464"/>
      <c r="J13" s="472" t="s">
        <v>186</v>
      </c>
      <c r="K13" s="473"/>
      <c r="L13" s="473"/>
      <c r="M13" s="473"/>
      <c r="N13" s="474"/>
      <c r="O13" s="456">
        <v>1</v>
      </c>
      <c r="P13" s="457"/>
      <c r="Q13" s="464"/>
      <c r="S13" s="39">
        <v>1</v>
      </c>
      <c r="T13" s="411" t="s">
        <v>68</v>
      </c>
      <c r="U13" s="412"/>
      <c r="V13" s="412"/>
      <c r="W13" s="413"/>
      <c r="X13" s="456">
        <v>101</v>
      </c>
      <c r="Y13" s="457"/>
      <c r="Z13" s="464"/>
      <c r="AA13" s="472" t="s">
        <v>193</v>
      </c>
      <c r="AB13" s="473"/>
      <c r="AC13" s="473"/>
      <c r="AD13" s="473"/>
      <c r="AE13" s="474"/>
      <c r="AF13" s="456">
        <v>10</v>
      </c>
      <c r="AG13" s="457"/>
      <c r="AH13" s="464"/>
      <c r="AI13" s="456">
        <v>1</v>
      </c>
      <c r="AJ13" s="457"/>
      <c r="AK13" s="464"/>
    </row>
    <row r="14" spans="1:37" ht="17" customHeight="1">
      <c r="B14" s="39">
        <v>2</v>
      </c>
      <c r="C14" s="411" t="s">
        <v>68</v>
      </c>
      <c r="D14" s="412"/>
      <c r="E14" s="412"/>
      <c r="F14" s="413"/>
      <c r="G14" s="456">
        <v>20</v>
      </c>
      <c r="H14" s="457"/>
      <c r="I14" s="464"/>
      <c r="J14" s="472" t="s">
        <v>187</v>
      </c>
      <c r="K14" s="473"/>
      <c r="L14" s="473"/>
      <c r="M14" s="473"/>
      <c r="N14" s="474"/>
      <c r="O14" s="456">
        <v>2</v>
      </c>
      <c r="P14" s="457"/>
      <c r="Q14" s="464"/>
      <c r="S14" s="39">
        <v>2</v>
      </c>
      <c r="T14" s="411" t="s">
        <v>68</v>
      </c>
      <c r="U14" s="412"/>
      <c r="V14" s="412"/>
      <c r="W14" s="413"/>
      <c r="X14" s="456">
        <v>102</v>
      </c>
      <c r="Y14" s="457"/>
      <c r="Z14" s="464"/>
      <c r="AA14" s="472" t="s">
        <v>194</v>
      </c>
      <c r="AB14" s="473"/>
      <c r="AC14" s="473"/>
      <c r="AD14" s="473"/>
      <c r="AE14" s="474"/>
      <c r="AF14" s="456">
        <v>10</v>
      </c>
      <c r="AG14" s="457"/>
      <c r="AH14" s="464"/>
      <c r="AI14" s="456">
        <v>2</v>
      </c>
      <c r="AJ14" s="457"/>
      <c r="AK14" s="464"/>
    </row>
    <row r="15" spans="1:37" ht="17" customHeight="1">
      <c r="B15" s="39">
        <v>3</v>
      </c>
      <c r="C15" s="411" t="s">
        <v>68</v>
      </c>
      <c r="D15" s="412"/>
      <c r="E15" s="412"/>
      <c r="F15" s="413"/>
      <c r="G15" s="456">
        <v>30</v>
      </c>
      <c r="H15" s="457"/>
      <c r="I15" s="464"/>
      <c r="J15" s="472" t="s">
        <v>188</v>
      </c>
      <c r="K15" s="473"/>
      <c r="L15" s="473"/>
      <c r="M15" s="473"/>
      <c r="N15" s="474"/>
      <c r="O15" s="456">
        <v>3</v>
      </c>
      <c r="P15" s="457"/>
      <c r="Q15" s="464"/>
      <c r="S15" s="39">
        <v>3</v>
      </c>
      <c r="T15" s="411" t="s">
        <v>68</v>
      </c>
      <c r="U15" s="412"/>
      <c r="V15" s="412"/>
      <c r="W15" s="413"/>
      <c r="X15" s="456">
        <v>201</v>
      </c>
      <c r="Y15" s="457"/>
      <c r="Z15" s="464"/>
      <c r="AA15" s="472" t="s">
        <v>195</v>
      </c>
      <c r="AB15" s="473"/>
      <c r="AC15" s="473"/>
      <c r="AD15" s="473"/>
      <c r="AE15" s="474"/>
      <c r="AF15" s="456">
        <v>20</v>
      </c>
      <c r="AG15" s="457"/>
      <c r="AH15" s="464"/>
      <c r="AI15" s="456">
        <v>3</v>
      </c>
      <c r="AJ15" s="457"/>
      <c r="AK15" s="464"/>
    </row>
    <row r="16" spans="1:37" ht="17" customHeight="1">
      <c r="S16" s="39">
        <v>4</v>
      </c>
      <c r="T16" s="411" t="s">
        <v>68</v>
      </c>
      <c r="U16" s="412"/>
      <c r="V16" s="412"/>
      <c r="W16" s="413"/>
      <c r="X16" s="456">
        <v>301</v>
      </c>
      <c r="Y16" s="457"/>
      <c r="Z16" s="464"/>
      <c r="AA16" s="472" t="s">
        <v>196</v>
      </c>
      <c r="AB16" s="473"/>
      <c r="AC16" s="473"/>
      <c r="AD16" s="473"/>
      <c r="AE16" s="474"/>
      <c r="AF16" s="456">
        <v>30</v>
      </c>
      <c r="AG16" s="457"/>
      <c r="AH16" s="464"/>
      <c r="AI16" s="456">
        <v>4</v>
      </c>
      <c r="AJ16" s="457"/>
      <c r="AK16" s="464"/>
    </row>
    <row r="17" spans="2:59" ht="17" customHeight="1">
      <c r="S17" s="39">
        <v>5</v>
      </c>
      <c r="T17" s="411" t="s">
        <v>68</v>
      </c>
      <c r="U17" s="412"/>
      <c r="V17" s="412"/>
      <c r="W17" s="413"/>
      <c r="X17" s="456">
        <v>302</v>
      </c>
      <c r="Y17" s="457"/>
      <c r="Z17" s="464"/>
      <c r="AA17" s="472" t="s">
        <v>193</v>
      </c>
      <c r="AB17" s="473"/>
      <c r="AC17" s="473"/>
      <c r="AD17" s="473"/>
      <c r="AE17" s="474"/>
      <c r="AF17" s="456">
        <v>30</v>
      </c>
      <c r="AG17" s="457"/>
      <c r="AH17" s="464"/>
      <c r="AI17" s="456">
        <v>5</v>
      </c>
      <c r="AJ17" s="457"/>
      <c r="AK17" s="464"/>
      <c r="AL17" t="s">
        <v>406</v>
      </c>
    </row>
    <row r="19" spans="2:59" ht="17" customHeight="1">
      <c r="B19" s="454" t="s">
        <v>173</v>
      </c>
      <c r="C19" s="486" t="s">
        <v>229</v>
      </c>
      <c r="D19" s="486"/>
      <c r="E19" s="486"/>
      <c r="F19" s="486"/>
      <c r="G19" s="486"/>
      <c r="H19" s="486"/>
      <c r="I19" s="486"/>
      <c r="J19" s="486"/>
      <c r="K19" s="486"/>
      <c r="L19" s="486"/>
      <c r="M19" s="486"/>
      <c r="N19" s="486"/>
      <c r="O19" s="486"/>
      <c r="P19" s="486"/>
      <c r="Q19" s="486"/>
      <c r="R19" s="486"/>
      <c r="S19" s="486"/>
      <c r="T19" s="486"/>
      <c r="U19" s="486"/>
      <c r="V19" s="486"/>
      <c r="W19" s="486"/>
      <c r="X19" s="486"/>
      <c r="Y19" s="486"/>
      <c r="Z19" s="486"/>
      <c r="AA19" s="486"/>
      <c r="AB19" s="486"/>
      <c r="AC19" s="486"/>
      <c r="AD19" s="486"/>
      <c r="AE19" s="486"/>
      <c r="AF19" s="486"/>
      <c r="AG19" s="486"/>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6"/>
      <c r="BE19" s="486"/>
      <c r="BF19" s="486"/>
      <c r="BG19" s="486"/>
    </row>
    <row r="20" spans="2:59" ht="17" customHeight="1">
      <c r="B20" s="454"/>
      <c r="C20" s="312" t="s">
        <v>62</v>
      </c>
      <c r="D20" s="313"/>
      <c r="E20" s="313"/>
      <c r="F20" s="314"/>
      <c r="G20" s="312" t="s">
        <v>198</v>
      </c>
      <c r="H20" s="313"/>
      <c r="I20" s="313"/>
      <c r="J20" s="314"/>
      <c r="K20" s="312" t="s">
        <v>200</v>
      </c>
      <c r="L20" s="313"/>
      <c r="M20" s="314"/>
      <c r="N20" s="458" t="s">
        <v>202</v>
      </c>
      <c r="O20" s="459"/>
      <c r="P20" s="459"/>
      <c r="Q20" s="459"/>
      <c r="R20" s="460"/>
      <c r="S20" s="458" t="s">
        <v>204</v>
      </c>
      <c r="T20" s="459"/>
      <c r="U20" s="459"/>
      <c r="V20" s="459"/>
      <c r="W20" s="460"/>
      <c r="X20" s="312" t="s">
        <v>205</v>
      </c>
      <c r="Y20" s="313"/>
      <c r="Z20" s="313"/>
      <c r="AA20" s="314"/>
      <c r="AB20" s="312" t="s">
        <v>208</v>
      </c>
      <c r="AC20" s="313"/>
      <c r="AD20" s="314"/>
      <c r="AE20" s="312" t="s">
        <v>182</v>
      </c>
      <c r="AF20" s="313"/>
      <c r="AG20" s="314"/>
      <c r="AH20" s="312" t="s">
        <v>189</v>
      </c>
      <c r="AI20" s="313"/>
      <c r="AJ20" s="314"/>
      <c r="AK20" s="312" t="s">
        <v>219</v>
      </c>
      <c r="AL20" s="313"/>
      <c r="AM20" s="314"/>
      <c r="AN20" s="312" t="s">
        <v>184</v>
      </c>
      <c r="AO20" s="313"/>
      <c r="AP20" s="314"/>
      <c r="AQ20" s="312" t="s">
        <v>221</v>
      </c>
      <c r="AR20" s="313"/>
      <c r="AS20" s="313"/>
      <c r="AT20" s="314"/>
      <c r="AU20" s="312" t="s">
        <v>223</v>
      </c>
      <c r="AV20" s="313"/>
      <c r="AW20" s="314"/>
      <c r="AX20" s="458" t="s">
        <v>225</v>
      </c>
      <c r="AY20" s="459"/>
      <c r="AZ20" s="459"/>
      <c r="BA20" s="459"/>
      <c r="BB20" s="460"/>
      <c r="BC20" s="458" t="s">
        <v>227</v>
      </c>
      <c r="BD20" s="459"/>
      <c r="BE20" s="459"/>
      <c r="BF20" s="459"/>
      <c r="BG20" s="460"/>
    </row>
    <row r="21" spans="2:59" ht="17" customHeight="1">
      <c r="B21" s="454"/>
      <c r="C21" s="309" t="s">
        <v>63</v>
      </c>
      <c r="D21" s="310"/>
      <c r="E21" s="310"/>
      <c r="F21" s="311"/>
      <c r="G21" s="309" t="s">
        <v>199</v>
      </c>
      <c r="H21" s="310"/>
      <c r="I21" s="310"/>
      <c r="J21" s="311"/>
      <c r="K21" s="309" t="s">
        <v>201</v>
      </c>
      <c r="L21" s="310"/>
      <c r="M21" s="311"/>
      <c r="N21" s="309" t="s">
        <v>203</v>
      </c>
      <c r="O21" s="310"/>
      <c r="P21" s="310"/>
      <c r="Q21" s="310"/>
      <c r="R21" s="311"/>
      <c r="S21" s="309" t="s">
        <v>234</v>
      </c>
      <c r="T21" s="310"/>
      <c r="U21" s="310"/>
      <c r="V21" s="310"/>
      <c r="W21" s="311"/>
      <c r="X21" s="309" t="s">
        <v>206</v>
      </c>
      <c r="Y21" s="310"/>
      <c r="Z21" s="310"/>
      <c r="AA21" s="311"/>
      <c r="AB21" s="309" t="s">
        <v>218</v>
      </c>
      <c r="AC21" s="310"/>
      <c r="AD21" s="311"/>
      <c r="AE21" s="309" t="s">
        <v>217</v>
      </c>
      <c r="AF21" s="310"/>
      <c r="AG21" s="311"/>
      <c r="AH21" s="309" t="s">
        <v>190</v>
      </c>
      <c r="AI21" s="310"/>
      <c r="AJ21" s="311"/>
      <c r="AK21" s="309" t="s">
        <v>220</v>
      </c>
      <c r="AL21" s="310"/>
      <c r="AM21" s="311"/>
      <c r="AN21" s="309" t="s">
        <v>185</v>
      </c>
      <c r="AO21" s="310"/>
      <c r="AP21" s="311"/>
      <c r="AQ21" s="309" t="s">
        <v>222</v>
      </c>
      <c r="AR21" s="310"/>
      <c r="AS21" s="310"/>
      <c r="AT21" s="311"/>
      <c r="AU21" s="309" t="s">
        <v>224</v>
      </c>
      <c r="AV21" s="310"/>
      <c r="AW21" s="311"/>
      <c r="AX21" s="309" t="s">
        <v>226</v>
      </c>
      <c r="AY21" s="310"/>
      <c r="AZ21" s="310"/>
      <c r="BA21" s="310"/>
      <c r="BB21" s="311"/>
      <c r="BC21" s="309" t="s">
        <v>228</v>
      </c>
      <c r="BD21" s="310"/>
      <c r="BE21" s="310"/>
      <c r="BF21" s="310"/>
      <c r="BG21" s="311"/>
    </row>
    <row r="22" spans="2:59" ht="17" customHeight="1">
      <c r="B22" s="39">
        <v>1</v>
      </c>
      <c r="C22" s="411" t="s">
        <v>68</v>
      </c>
      <c r="D22" s="412"/>
      <c r="E22" s="412"/>
      <c r="F22" s="413"/>
      <c r="G22" s="456" t="s">
        <v>230</v>
      </c>
      <c r="H22" s="457"/>
      <c r="I22" s="457"/>
      <c r="J22" s="464"/>
      <c r="K22" s="456">
        <v>1</v>
      </c>
      <c r="L22" s="457"/>
      <c r="M22" s="464"/>
      <c r="N22" s="472" t="s">
        <v>231</v>
      </c>
      <c r="O22" s="473"/>
      <c r="P22" s="473"/>
      <c r="Q22" s="473"/>
      <c r="R22" s="474"/>
      <c r="S22" s="318" t="s">
        <v>527</v>
      </c>
      <c r="T22" s="473"/>
      <c r="U22" s="473"/>
      <c r="V22" s="473"/>
      <c r="W22" s="474"/>
      <c r="X22" s="456" t="s">
        <v>237</v>
      </c>
      <c r="Y22" s="457"/>
      <c r="Z22" s="457"/>
      <c r="AA22" s="464"/>
      <c r="AB22" s="456">
        <v>10</v>
      </c>
      <c r="AC22" s="457"/>
      <c r="AD22" s="464"/>
      <c r="AE22" s="456">
        <v>10</v>
      </c>
      <c r="AF22" s="457"/>
      <c r="AG22" s="464"/>
      <c r="AH22" s="456">
        <v>101</v>
      </c>
      <c r="AI22" s="457"/>
      <c r="AJ22" s="464"/>
      <c r="AK22" s="456">
        <v>1</v>
      </c>
      <c r="AL22" s="457"/>
      <c r="AM22" s="464"/>
      <c r="AN22" s="456">
        <v>1</v>
      </c>
      <c r="AO22" s="457"/>
      <c r="AP22" s="464"/>
      <c r="AQ22" s="456" t="s">
        <v>237</v>
      </c>
      <c r="AR22" s="457"/>
      <c r="AS22" s="457"/>
      <c r="AT22" s="464"/>
      <c r="AU22" s="456" t="s">
        <v>240</v>
      </c>
      <c r="AV22" s="457"/>
      <c r="AW22" s="464"/>
      <c r="AX22" s="472" t="s">
        <v>1069</v>
      </c>
      <c r="AY22" s="473"/>
      <c r="AZ22" s="473"/>
      <c r="BA22" s="473"/>
      <c r="BB22" s="474"/>
      <c r="BC22" s="472">
        <v>1</v>
      </c>
      <c r="BD22" s="473"/>
      <c r="BE22" s="473"/>
      <c r="BF22" s="473"/>
      <c r="BG22" s="474"/>
    </row>
    <row r="23" spans="2:59" ht="17" customHeight="1">
      <c r="B23" s="39">
        <v>2</v>
      </c>
      <c r="C23" s="411" t="s">
        <v>68</v>
      </c>
      <c r="D23" s="412"/>
      <c r="E23" s="412"/>
      <c r="F23" s="413"/>
      <c r="G23" s="456" t="s">
        <v>230</v>
      </c>
      <c r="H23" s="457"/>
      <c r="I23" s="457"/>
      <c r="J23" s="464"/>
      <c r="K23" s="456">
        <v>2</v>
      </c>
      <c r="L23" s="457"/>
      <c r="M23" s="464"/>
      <c r="N23" s="472" t="s">
        <v>232</v>
      </c>
      <c r="O23" s="473"/>
      <c r="P23" s="473"/>
      <c r="Q23" s="473"/>
      <c r="R23" s="474"/>
      <c r="S23" s="318" t="s">
        <v>235</v>
      </c>
      <c r="T23" s="473"/>
      <c r="U23" s="473"/>
      <c r="V23" s="473"/>
      <c r="W23" s="474"/>
      <c r="X23" s="456" t="s">
        <v>237</v>
      </c>
      <c r="Y23" s="457"/>
      <c r="Z23" s="457"/>
      <c r="AA23" s="464"/>
      <c r="AB23" s="456">
        <v>11</v>
      </c>
      <c r="AC23" s="457"/>
      <c r="AD23" s="464"/>
      <c r="AE23" s="456">
        <v>10</v>
      </c>
      <c r="AF23" s="457"/>
      <c r="AG23" s="464"/>
      <c r="AH23" s="456">
        <v>101</v>
      </c>
      <c r="AI23" s="457"/>
      <c r="AJ23" s="464"/>
      <c r="AK23" s="456">
        <v>0</v>
      </c>
      <c r="AL23" s="457"/>
      <c r="AM23" s="464"/>
      <c r="AN23" s="456">
        <v>2</v>
      </c>
      <c r="AO23" s="457"/>
      <c r="AP23" s="464"/>
      <c r="AQ23" s="456" t="s">
        <v>237</v>
      </c>
      <c r="AR23" s="457"/>
      <c r="AS23" s="457"/>
      <c r="AT23" s="464"/>
      <c r="AU23" s="456" t="s">
        <v>240</v>
      </c>
      <c r="AV23" s="457"/>
      <c r="AW23" s="464"/>
      <c r="AX23" s="472"/>
      <c r="AY23" s="473"/>
      <c r="AZ23" s="473"/>
      <c r="BA23" s="473"/>
      <c r="BB23" s="474"/>
      <c r="BC23" s="472">
        <v>1</v>
      </c>
      <c r="BD23" s="473"/>
      <c r="BE23" s="473"/>
      <c r="BF23" s="473"/>
      <c r="BG23" s="474"/>
    </row>
    <row r="24" spans="2:59" ht="17" customHeight="1">
      <c r="B24" s="39">
        <v>3</v>
      </c>
      <c r="C24" s="411" t="s">
        <v>68</v>
      </c>
      <c r="D24" s="412"/>
      <c r="E24" s="412"/>
      <c r="F24" s="413"/>
      <c r="G24" s="456" t="s">
        <v>230</v>
      </c>
      <c r="H24" s="457"/>
      <c r="I24" s="457"/>
      <c r="J24" s="464"/>
      <c r="K24" s="456">
        <v>3</v>
      </c>
      <c r="L24" s="457"/>
      <c r="M24" s="464"/>
      <c r="N24" s="472" t="s">
        <v>233</v>
      </c>
      <c r="O24" s="473"/>
      <c r="P24" s="473"/>
      <c r="Q24" s="473"/>
      <c r="R24" s="474"/>
      <c r="S24" s="318" t="s">
        <v>236</v>
      </c>
      <c r="T24" s="473"/>
      <c r="U24" s="473"/>
      <c r="V24" s="473"/>
      <c r="W24" s="474"/>
      <c r="X24" s="456" t="s">
        <v>237</v>
      </c>
      <c r="Y24" s="457"/>
      <c r="Z24" s="457"/>
      <c r="AA24" s="464"/>
      <c r="AB24" s="456">
        <v>11</v>
      </c>
      <c r="AC24" s="457"/>
      <c r="AD24" s="464"/>
      <c r="AE24" s="456">
        <v>10</v>
      </c>
      <c r="AF24" s="457"/>
      <c r="AG24" s="464"/>
      <c r="AH24" s="456">
        <v>102</v>
      </c>
      <c r="AI24" s="457"/>
      <c r="AJ24" s="464"/>
      <c r="AK24" s="456">
        <v>0</v>
      </c>
      <c r="AL24" s="457"/>
      <c r="AM24" s="464"/>
      <c r="AN24" s="456">
        <v>3</v>
      </c>
      <c r="AO24" s="457"/>
      <c r="AP24" s="464"/>
      <c r="AQ24" s="456" t="s">
        <v>237</v>
      </c>
      <c r="AR24" s="457"/>
      <c r="AS24" s="457"/>
      <c r="AT24" s="464"/>
      <c r="AU24" s="456" t="s">
        <v>240</v>
      </c>
      <c r="AV24" s="457"/>
      <c r="AW24" s="464"/>
      <c r="AX24" s="472" t="s">
        <v>1070</v>
      </c>
      <c r="AY24" s="473"/>
      <c r="AZ24" s="473"/>
      <c r="BA24" s="473"/>
      <c r="BB24" s="474"/>
      <c r="BC24" s="472">
        <v>0</v>
      </c>
      <c r="BD24" s="473"/>
      <c r="BE24" s="473"/>
      <c r="BF24" s="473"/>
      <c r="BG24" s="474"/>
    </row>
    <row r="25" spans="2:59" ht="17" customHeight="1">
      <c r="B25" s="39">
        <v>4</v>
      </c>
      <c r="C25" s="411" t="s">
        <v>68</v>
      </c>
      <c r="D25" s="412"/>
      <c r="E25" s="412"/>
      <c r="F25" s="413"/>
      <c r="G25" s="456" t="s">
        <v>230</v>
      </c>
      <c r="H25" s="457"/>
      <c r="I25" s="457"/>
      <c r="J25" s="464"/>
      <c r="K25" s="456">
        <v>4</v>
      </c>
      <c r="L25" s="457"/>
      <c r="M25" s="464"/>
      <c r="N25" s="472" t="s">
        <v>238</v>
      </c>
      <c r="O25" s="473"/>
      <c r="P25" s="473"/>
      <c r="Q25" s="473"/>
      <c r="R25" s="474"/>
      <c r="S25" s="318" t="s">
        <v>239</v>
      </c>
      <c r="T25" s="473"/>
      <c r="U25" s="473"/>
      <c r="V25" s="473"/>
      <c r="W25" s="474"/>
      <c r="X25" s="456" t="s">
        <v>237</v>
      </c>
      <c r="Y25" s="457"/>
      <c r="Z25" s="457"/>
      <c r="AA25" s="464"/>
      <c r="AB25" s="456">
        <v>10</v>
      </c>
      <c r="AC25" s="457"/>
      <c r="AD25" s="464"/>
      <c r="AE25" s="456">
        <v>20</v>
      </c>
      <c r="AF25" s="457"/>
      <c r="AG25" s="464"/>
      <c r="AH25" s="456">
        <v>201</v>
      </c>
      <c r="AI25" s="457"/>
      <c r="AJ25" s="464"/>
      <c r="AK25" s="456">
        <v>1</v>
      </c>
      <c r="AL25" s="457"/>
      <c r="AM25" s="464"/>
      <c r="AN25" s="456">
        <v>4</v>
      </c>
      <c r="AO25" s="457"/>
      <c r="AP25" s="464"/>
      <c r="AQ25" s="456" t="s">
        <v>237</v>
      </c>
      <c r="AR25" s="457"/>
      <c r="AS25" s="457"/>
      <c r="AT25" s="464"/>
      <c r="AU25" s="456" t="s">
        <v>240</v>
      </c>
      <c r="AV25" s="457"/>
      <c r="AW25" s="464"/>
      <c r="AX25" s="472" t="s">
        <v>241</v>
      </c>
      <c r="AY25" s="473"/>
      <c r="AZ25" s="473"/>
      <c r="BA25" s="473"/>
      <c r="BB25" s="474"/>
      <c r="BC25" s="472">
        <v>0</v>
      </c>
      <c r="BD25" s="473"/>
      <c r="BE25" s="473"/>
      <c r="BF25" s="473"/>
      <c r="BG25" s="474"/>
    </row>
    <row r="27" spans="2:59" ht="17" customHeight="1">
      <c r="B27" s="454" t="s">
        <v>173</v>
      </c>
      <c r="C27" s="486" t="s">
        <v>242</v>
      </c>
      <c r="D27" s="486"/>
      <c r="E27" s="486"/>
      <c r="F27" s="486"/>
      <c r="G27" s="486"/>
      <c r="H27" s="486"/>
      <c r="I27" s="486"/>
      <c r="J27" s="486"/>
      <c r="K27" s="486"/>
      <c r="L27" s="486"/>
      <c r="M27" s="486"/>
      <c r="N27" s="486"/>
      <c r="O27" s="486"/>
      <c r="P27" s="486"/>
      <c r="Q27" s="486"/>
      <c r="R27" s="486"/>
      <c r="S27" s="486"/>
      <c r="T27" s="486"/>
      <c r="U27" s="486"/>
    </row>
    <row r="28" spans="2:59" ht="17" customHeight="1">
      <c r="B28" s="454"/>
      <c r="C28" s="312" t="s">
        <v>62</v>
      </c>
      <c r="D28" s="313"/>
      <c r="E28" s="313"/>
      <c r="F28" s="314"/>
      <c r="G28" s="312" t="s">
        <v>198</v>
      </c>
      <c r="H28" s="313"/>
      <c r="I28" s="313"/>
      <c r="J28" s="314"/>
      <c r="K28" s="312" t="s">
        <v>200</v>
      </c>
      <c r="L28" s="313"/>
      <c r="M28" s="314"/>
      <c r="N28" s="458" t="s">
        <v>202</v>
      </c>
      <c r="O28" s="459"/>
      <c r="P28" s="459"/>
      <c r="Q28" s="459"/>
      <c r="R28" s="460"/>
      <c r="S28" s="312" t="s">
        <v>208</v>
      </c>
      <c r="T28" s="313"/>
      <c r="U28" s="314"/>
    </row>
    <row r="29" spans="2:59" ht="17" customHeight="1">
      <c r="B29" s="454"/>
      <c r="C29" s="309" t="s">
        <v>63</v>
      </c>
      <c r="D29" s="310"/>
      <c r="E29" s="310"/>
      <c r="F29" s="311"/>
      <c r="G29" s="309" t="s">
        <v>199</v>
      </c>
      <c r="H29" s="310"/>
      <c r="I29" s="310"/>
      <c r="J29" s="311"/>
      <c r="K29" s="309" t="s">
        <v>201</v>
      </c>
      <c r="L29" s="310"/>
      <c r="M29" s="311"/>
      <c r="N29" s="309" t="s">
        <v>203</v>
      </c>
      <c r="O29" s="310"/>
      <c r="P29" s="310"/>
      <c r="Q29" s="310"/>
      <c r="R29" s="311"/>
      <c r="S29" s="309" t="s">
        <v>218</v>
      </c>
      <c r="T29" s="310"/>
      <c r="U29" s="311"/>
    </row>
    <row r="30" spans="2:59" ht="17" customHeight="1">
      <c r="B30" s="39">
        <v>1</v>
      </c>
      <c r="C30" s="411" t="s">
        <v>68</v>
      </c>
      <c r="D30" s="412"/>
      <c r="E30" s="412"/>
      <c r="F30" s="413"/>
      <c r="G30" s="456" t="s">
        <v>230</v>
      </c>
      <c r="H30" s="457"/>
      <c r="I30" s="457"/>
      <c r="J30" s="464"/>
      <c r="K30" s="456">
        <v>1</v>
      </c>
      <c r="L30" s="457"/>
      <c r="M30" s="464"/>
      <c r="N30" s="472" t="s">
        <v>231</v>
      </c>
      <c r="O30" s="473"/>
      <c r="P30" s="473"/>
      <c r="Q30" s="473"/>
      <c r="R30" s="474"/>
      <c r="S30" s="456">
        <v>10</v>
      </c>
      <c r="T30" s="457"/>
      <c r="U30" s="464"/>
    </row>
    <row r="31" spans="2:59" ht="17" customHeight="1">
      <c r="B31" s="39">
        <v>2</v>
      </c>
      <c r="C31" s="411" t="s">
        <v>68</v>
      </c>
      <c r="D31" s="412"/>
      <c r="E31" s="412"/>
      <c r="F31" s="413"/>
      <c r="G31" s="456" t="s">
        <v>230</v>
      </c>
      <c r="H31" s="457"/>
      <c r="I31" s="457"/>
      <c r="J31" s="464"/>
      <c r="K31" s="456">
        <v>2</v>
      </c>
      <c r="L31" s="457"/>
      <c r="M31" s="464"/>
      <c r="N31" s="472" t="s">
        <v>232</v>
      </c>
      <c r="O31" s="473"/>
      <c r="P31" s="473"/>
      <c r="Q31" s="473"/>
      <c r="R31" s="474"/>
      <c r="S31" s="456">
        <v>11</v>
      </c>
      <c r="T31" s="457"/>
      <c r="U31" s="464"/>
    </row>
    <row r="32" spans="2:59" ht="17" customHeight="1">
      <c r="B32" s="39">
        <v>3</v>
      </c>
      <c r="C32" s="411" t="s">
        <v>68</v>
      </c>
      <c r="D32" s="412"/>
      <c r="E32" s="412"/>
      <c r="F32" s="413"/>
      <c r="G32" s="456" t="s">
        <v>230</v>
      </c>
      <c r="H32" s="457"/>
      <c r="I32" s="457"/>
      <c r="J32" s="464"/>
      <c r="K32" s="456">
        <v>3</v>
      </c>
      <c r="L32" s="457"/>
      <c r="M32" s="464"/>
      <c r="N32" s="472" t="s">
        <v>233</v>
      </c>
      <c r="O32" s="473"/>
      <c r="P32" s="473"/>
      <c r="Q32" s="473"/>
      <c r="R32" s="474"/>
      <c r="S32" s="456">
        <v>11</v>
      </c>
      <c r="T32" s="457"/>
      <c r="U32" s="464"/>
    </row>
    <row r="33" spans="2:72" ht="17" customHeight="1">
      <c r="B33" s="39">
        <v>4</v>
      </c>
      <c r="C33" s="411" t="s">
        <v>68</v>
      </c>
      <c r="D33" s="412"/>
      <c r="E33" s="412"/>
      <c r="F33" s="413"/>
      <c r="G33" s="456" t="s">
        <v>230</v>
      </c>
      <c r="H33" s="457"/>
      <c r="I33" s="457"/>
      <c r="J33" s="464"/>
      <c r="K33" s="456">
        <v>4</v>
      </c>
      <c r="L33" s="457"/>
      <c r="M33" s="464"/>
      <c r="N33" s="472" t="s">
        <v>238</v>
      </c>
      <c r="O33" s="473"/>
      <c r="P33" s="473"/>
      <c r="Q33" s="473"/>
      <c r="R33" s="474"/>
      <c r="S33" s="456">
        <v>10</v>
      </c>
      <c r="T33" s="457"/>
      <c r="U33" s="464"/>
    </row>
    <row r="36" spans="2:72" ht="17" customHeight="1">
      <c r="B36" t="s">
        <v>167</v>
      </c>
    </row>
    <row r="37" spans="2:72" ht="17" customHeight="1">
      <c r="B37" s="454" t="s">
        <v>173</v>
      </c>
      <c r="C37" s="488" t="s">
        <v>168</v>
      </c>
      <c r="D37" s="488"/>
      <c r="E37" s="488"/>
      <c r="F37" s="488"/>
      <c r="G37" s="488"/>
      <c r="H37" s="487" t="s">
        <v>174</v>
      </c>
      <c r="I37" s="487"/>
      <c r="J37" s="487"/>
      <c r="K37" s="487"/>
      <c r="L37" s="487"/>
      <c r="M37" s="487"/>
      <c r="N37" s="487"/>
    </row>
    <row r="38" spans="2:72" ht="17" customHeight="1">
      <c r="B38" s="454"/>
      <c r="C38" s="488"/>
      <c r="D38" s="488"/>
      <c r="E38" s="488"/>
      <c r="F38" s="488"/>
      <c r="G38" s="488"/>
      <c r="H38" s="487"/>
      <c r="I38" s="487"/>
      <c r="J38" s="487"/>
      <c r="K38" s="487"/>
      <c r="L38" s="487"/>
      <c r="M38" s="487"/>
      <c r="N38" s="487"/>
    </row>
    <row r="39" spans="2:72" ht="33.5" customHeight="1">
      <c r="B39" s="93">
        <v>1</v>
      </c>
      <c r="C39" s="206" t="s">
        <v>169</v>
      </c>
      <c r="D39" s="206"/>
      <c r="E39" s="206"/>
      <c r="F39" s="206"/>
      <c r="G39" s="206"/>
      <c r="H39" s="321" t="s">
        <v>1083</v>
      </c>
      <c r="I39" s="206"/>
      <c r="J39" s="206"/>
      <c r="K39" s="206"/>
      <c r="L39" s="206"/>
      <c r="M39" s="206"/>
      <c r="N39" s="206"/>
    </row>
    <row r="40" spans="2:72" ht="33.5" customHeight="1">
      <c r="B40" s="93">
        <f>B39+1</f>
        <v>2</v>
      </c>
      <c r="C40" s="206" t="s">
        <v>170</v>
      </c>
      <c r="D40" s="206"/>
      <c r="E40" s="206"/>
      <c r="F40" s="206"/>
      <c r="G40" s="206"/>
      <c r="H40" s="321" t="s">
        <v>1084</v>
      </c>
      <c r="I40" s="206"/>
      <c r="J40" s="206"/>
      <c r="K40" s="206"/>
      <c r="L40" s="206"/>
      <c r="M40" s="206"/>
      <c r="N40" s="206"/>
    </row>
    <row r="41" spans="2:72" ht="33.5" customHeight="1">
      <c r="B41" s="93">
        <f t="shared" ref="B41:B43" si="0">B40+1</f>
        <v>3</v>
      </c>
      <c r="C41" s="206" t="s">
        <v>916</v>
      </c>
      <c r="D41" s="206"/>
      <c r="E41" s="206"/>
      <c r="F41" s="206"/>
      <c r="G41" s="206"/>
      <c r="H41" s="321" t="s">
        <v>1084</v>
      </c>
      <c r="I41" s="206"/>
      <c r="J41" s="206"/>
      <c r="K41" s="206"/>
      <c r="L41" s="206"/>
      <c r="M41" s="206"/>
      <c r="N41" s="206"/>
    </row>
    <row r="42" spans="2:72" ht="46" customHeight="1">
      <c r="B42" s="93">
        <f t="shared" si="0"/>
        <v>4</v>
      </c>
      <c r="C42" s="206" t="s">
        <v>171</v>
      </c>
      <c r="D42" s="206"/>
      <c r="E42" s="206"/>
      <c r="F42" s="206"/>
      <c r="G42" s="206"/>
      <c r="H42" s="321" t="s">
        <v>1085</v>
      </c>
      <c r="I42" s="206"/>
      <c r="J42" s="206"/>
      <c r="K42" s="206"/>
      <c r="L42" s="206"/>
      <c r="M42" s="206"/>
      <c r="N42" s="206"/>
    </row>
    <row r="43" spans="2:72" ht="46" customHeight="1">
      <c r="B43" s="93">
        <f t="shared" si="0"/>
        <v>5</v>
      </c>
      <c r="C43" s="206" t="s">
        <v>172</v>
      </c>
      <c r="D43" s="206"/>
      <c r="E43" s="206"/>
      <c r="F43" s="206"/>
      <c r="G43" s="206"/>
      <c r="H43" s="321" t="s">
        <v>1085</v>
      </c>
      <c r="I43" s="206"/>
      <c r="J43" s="206"/>
      <c r="K43" s="206"/>
      <c r="L43" s="206"/>
      <c r="M43" s="206"/>
      <c r="N43" s="206"/>
    </row>
    <row r="45" spans="2:72" ht="17" customHeight="1">
      <c r="B45" t="s">
        <v>175</v>
      </c>
    </row>
    <row r="46" spans="2:72" ht="17" customHeight="1">
      <c r="B46" s="192" t="s">
        <v>259</v>
      </c>
      <c r="C46" s="522" t="s">
        <v>258</v>
      </c>
      <c r="D46" s="522"/>
      <c r="E46" s="522"/>
      <c r="F46" s="522"/>
      <c r="G46" s="522"/>
      <c r="H46" s="522"/>
      <c r="I46" s="522"/>
      <c r="J46" s="522"/>
      <c r="K46" s="522"/>
      <c r="L46" s="522"/>
      <c r="M46" s="522"/>
      <c r="N46" s="522"/>
      <c r="O46" s="522"/>
      <c r="P46" s="522"/>
      <c r="Q46" s="522"/>
      <c r="R46" s="522"/>
      <c r="S46" s="522"/>
      <c r="T46" s="522"/>
      <c r="U46" s="522"/>
      <c r="V46" s="522"/>
      <c r="W46" s="522"/>
      <c r="X46" s="522"/>
      <c r="Y46" s="522"/>
      <c r="Z46" s="522"/>
      <c r="AA46" s="522"/>
      <c r="AB46" s="522"/>
      <c r="AC46" s="522"/>
      <c r="AD46" s="522"/>
      <c r="AE46" s="522"/>
      <c r="AF46" s="522"/>
      <c r="AG46" s="522"/>
      <c r="AH46" s="522"/>
      <c r="AI46" s="522"/>
      <c r="AJ46" s="522"/>
      <c r="AK46" s="522"/>
      <c r="AL46" s="522"/>
      <c r="AM46" s="522"/>
      <c r="AN46" s="522"/>
      <c r="AO46" s="522"/>
      <c r="AP46" s="522"/>
      <c r="AQ46" s="522"/>
      <c r="AR46" s="522"/>
      <c r="AS46" s="522"/>
      <c r="AT46" s="522"/>
      <c r="AU46" s="522"/>
      <c r="AV46" s="421"/>
      <c r="AW46" s="540" t="s">
        <v>397</v>
      </c>
      <c r="AX46" s="540"/>
      <c r="AY46" s="540"/>
      <c r="AZ46" s="486" t="s">
        <v>260</v>
      </c>
      <c r="BA46" s="486"/>
      <c r="BB46" s="486"/>
      <c r="BC46" s="486"/>
      <c r="BD46" s="486"/>
      <c r="BE46" s="486"/>
      <c r="BF46" s="486"/>
      <c r="BG46" s="486"/>
      <c r="BH46" s="486"/>
      <c r="BI46" s="486"/>
      <c r="BJ46" s="486"/>
      <c r="BK46" s="486"/>
      <c r="BL46" s="486"/>
      <c r="BM46" s="486"/>
      <c r="BN46" s="486"/>
      <c r="BO46" s="486"/>
      <c r="BP46" s="486"/>
      <c r="BQ46" s="486"/>
      <c r="BR46" s="486"/>
      <c r="BS46" s="486"/>
      <c r="BT46" s="486"/>
    </row>
    <row r="47" spans="2:72" ht="17" customHeight="1">
      <c r="B47" s="193"/>
      <c r="C47" s="465" t="s">
        <v>244</v>
      </c>
      <c r="D47" s="465"/>
      <c r="E47" s="465"/>
      <c r="F47" s="465" t="s">
        <v>245</v>
      </c>
      <c r="G47" s="479"/>
      <c r="H47" s="479"/>
      <c r="I47" s="479"/>
      <c r="J47" s="479"/>
      <c r="K47" s="465" t="s">
        <v>246</v>
      </c>
      <c r="L47" s="479"/>
      <c r="M47" s="479"/>
      <c r="N47" s="479"/>
      <c r="O47" s="479"/>
      <c r="P47" s="465" t="s">
        <v>247</v>
      </c>
      <c r="Q47" s="479"/>
      <c r="R47" s="479"/>
      <c r="S47" s="479"/>
      <c r="T47" s="479"/>
      <c r="U47" s="465" t="s">
        <v>248</v>
      </c>
      <c r="V47" s="479"/>
      <c r="W47" s="479"/>
      <c r="X47" s="479"/>
      <c r="Y47" s="479"/>
      <c r="Z47" s="465" t="s">
        <v>249</v>
      </c>
      <c r="AA47" s="479"/>
      <c r="AB47" s="479"/>
      <c r="AC47" s="479"/>
      <c r="AD47" s="479"/>
      <c r="AE47" s="478" t="s">
        <v>250</v>
      </c>
      <c r="AF47" s="481"/>
      <c r="AG47" s="481"/>
      <c r="AH47" s="481"/>
      <c r="AI47" s="481"/>
      <c r="AJ47" s="482"/>
      <c r="AK47" s="465" t="s">
        <v>251</v>
      </c>
      <c r="AL47" s="465"/>
      <c r="AM47" s="465"/>
      <c r="AN47" s="465" t="s">
        <v>253</v>
      </c>
      <c r="AO47" s="465"/>
      <c r="AP47" s="465"/>
      <c r="AQ47" s="465" t="s">
        <v>254</v>
      </c>
      <c r="AR47" s="465"/>
      <c r="AS47" s="465"/>
      <c r="AT47" s="465" t="s">
        <v>256</v>
      </c>
      <c r="AU47" s="465"/>
      <c r="AV47" s="478"/>
      <c r="AW47" s="540"/>
      <c r="AX47" s="540"/>
      <c r="AY47" s="540"/>
      <c r="AZ47" s="458" t="s">
        <v>305</v>
      </c>
      <c r="BA47" s="459"/>
      <c r="BB47" s="460"/>
      <c r="BC47" s="477" t="s">
        <v>262</v>
      </c>
      <c r="BD47" s="477"/>
      <c r="BE47" s="477"/>
      <c r="BF47" s="477"/>
      <c r="BG47" s="477"/>
      <c r="BH47" s="477"/>
      <c r="BI47" s="477"/>
      <c r="BJ47" s="477"/>
      <c r="BK47" s="477"/>
      <c r="BL47" s="477"/>
      <c r="BM47" s="477"/>
      <c r="BN47" s="477"/>
      <c r="BO47" s="477"/>
      <c r="BP47" s="477"/>
      <c r="BQ47" s="477" t="s">
        <v>265</v>
      </c>
      <c r="BR47" s="477"/>
      <c r="BS47" s="477"/>
      <c r="BT47" s="477"/>
    </row>
    <row r="48" spans="2:72" ht="17" customHeight="1">
      <c r="B48" s="194"/>
      <c r="C48" s="466" t="s">
        <v>200</v>
      </c>
      <c r="D48" s="467"/>
      <c r="E48" s="468"/>
      <c r="F48" s="469" t="s">
        <v>202</v>
      </c>
      <c r="G48" s="470"/>
      <c r="H48" s="470"/>
      <c r="I48" s="470"/>
      <c r="J48" s="471"/>
      <c r="K48" s="469" t="s">
        <v>225</v>
      </c>
      <c r="L48" s="470"/>
      <c r="M48" s="470"/>
      <c r="N48" s="470"/>
      <c r="O48" s="471"/>
      <c r="P48" s="469" t="s">
        <v>51</v>
      </c>
      <c r="Q48" s="470"/>
      <c r="R48" s="470"/>
      <c r="S48" s="470"/>
      <c r="T48" s="471"/>
      <c r="U48" s="469" t="s">
        <v>49</v>
      </c>
      <c r="V48" s="470"/>
      <c r="W48" s="470"/>
      <c r="X48" s="470"/>
      <c r="Y48" s="471"/>
      <c r="Z48" s="469" t="s">
        <v>50</v>
      </c>
      <c r="AA48" s="470"/>
      <c r="AB48" s="470"/>
      <c r="AC48" s="470"/>
      <c r="AD48" s="471"/>
      <c r="AE48" s="483" t="s">
        <v>204</v>
      </c>
      <c r="AF48" s="484"/>
      <c r="AG48" s="484"/>
      <c r="AH48" s="484"/>
      <c r="AI48" s="484"/>
      <c r="AJ48" s="485"/>
      <c r="AK48" s="466" t="s">
        <v>252</v>
      </c>
      <c r="AL48" s="467"/>
      <c r="AM48" s="468"/>
      <c r="AN48" s="466" t="s">
        <v>219</v>
      </c>
      <c r="AO48" s="467"/>
      <c r="AP48" s="468"/>
      <c r="AQ48" s="466" t="s">
        <v>255</v>
      </c>
      <c r="AR48" s="467"/>
      <c r="AS48" s="468"/>
      <c r="AT48" s="466" t="s">
        <v>257</v>
      </c>
      <c r="AU48" s="467"/>
      <c r="AV48" s="467"/>
      <c r="AW48" s="540"/>
      <c r="AX48" s="540"/>
      <c r="AY48" s="540"/>
      <c r="AZ48" s="461"/>
      <c r="BA48" s="462"/>
      <c r="BB48" s="463"/>
      <c r="BC48" s="476" t="s">
        <v>261</v>
      </c>
      <c r="BD48" s="476"/>
      <c r="BE48" s="476"/>
      <c r="BF48" s="476"/>
      <c r="BG48" s="476" t="s">
        <v>174</v>
      </c>
      <c r="BH48" s="476"/>
      <c r="BI48" s="476" t="s">
        <v>263</v>
      </c>
      <c r="BJ48" s="476"/>
      <c r="BK48" s="476"/>
      <c r="BL48" s="476"/>
      <c r="BM48" s="476" t="s">
        <v>264</v>
      </c>
      <c r="BN48" s="476"/>
      <c r="BO48" s="476"/>
      <c r="BP48" s="476"/>
      <c r="BQ48" s="477"/>
      <c r="BR48" s="477"/>
      <c r="BS48" s="477"/>
      <c r="BT48" s="477"/>
    </row>
    <row r="49" spans="2:72" ht="17" customHeight="1">
      <c r="B49" s="39">
        <v>1</v>
      </c>
      <c r="C49" s="456">
        <v>101</v>
      </c>
      <c r="D49" s="457"/>
      <c r="E49" s="464"/>
      <c r="F49" s="472" t="s">
        <v>1086</v>
      </c>
      <c r="G49" s="473"/>
      <c r="H49" s="473"/>
      <c r="I49" s="473"/>
      <c r="J49" s="474"/>
      <c r="K49" s="472" t="s">
        <v>408</v>
      </c>
      <c r="L49" s="473"/>
      <c r="M49" s="473"/>
      <c r="N49" s="473"/>
      <c r="O49" s="474"/>
      <c r="P49" s="472" t="s">
        <v>214</v>
      </c>
      <c r="Q49" s="473"/>
      <c r="R49" s="473"/>
      <c r="S49" s="473"/>
      <c r="T49" s="474"/>
      <c r="U49" s="472" t="s">
        <v>186</v>
      </c>
      <c r="V49" s="473"/>
      <c r="W49" s="473"/>
      <c r="X49" s="473"/>
      <c r="Y49" s="474"/>
      <c r="Z49" s="472" t="s">
        <v>193</v>
      </c>
      <c r="AA49" s="473"/>
      <c r="AB49" s="473"/>
      <c r="AC49" s="473"/>
      <c r="AD49" s="474"/>
      <c r="AE49" s="206" t="s">
        <v>275</v>
      </c>
      <c r="AF49" s="206"/>
      <c r="AG49" s="206"/>
      <c r="AH49" s="206"/>
      <c r="AI49" s="206"/>
      <c r="AJ49" s="206"/>
      <c r="AK49" s="456" t="s">
        <v>237</v>
      </c>
      <c r="AL49" s="457"/>
      <c r="AM49" s="464"/>
      <c r="AN49" s="456">
        <v>1</v>
      </c>
      <c r="AO49" s="457"/>
      <c r="AP49" s="464"/>
      <c r="AQ49" s="456">
        <v>0</v>
      </c>
      <c r="AR49" s="457"/>
      <c r="AS49" s="464"/>
      <c r="AT49" s="456" t="s">
        <v>266</v>
      </c>
      <c r="AU49" s="457"/>
      <c r="AV49" s="457"/>
      <c r="AW49" s="540"/>
      <c r="AX49" s="540"/>
      <c r="AY49" s="540"/>
      <c r="AZ49" s="207">
        <v>1</v>
      </c>
      <c r="BA49" s="208"/>
      <c r="BB49" s="209"/>
      <c r="BC49" s="206" t="s">
        <v>267</v>
      </c>
      <c r="BD49" s="206"/>
      <c r="BE49" s="206"/>
      <c r="BF49" s="206"/>
      <c r="BG49" s="206" t="s">
        <v>268</v>
      </c>
      <c r="BH49" s="206"/>
      <c r="BI49" s="206" t="s">
        <v>269</v>
      </c>
      <c r="BJ49" s="206"/>
      <c r="BK49" s="206"/>
      <c r="BL49" s="206"/>
      <c r="BM49" s="206" t="s">
        <v>269</v>
      </c>
      <c r="BN49" s="206"/>
      <c r="BO49" s="206"/>
      <c r="BP49" s="206"/>
      <c r="BQ49" s="475" t="s">
        <v>270</v>
      </c>
      <c r="BR49" s="475"/>
      <c r="BS49" s="475"/>
      <c r="BT49" s="475"/>
    </row>
    <row r="50" spans="2:72" ht="17" customHeight="1">
      <c r="B50" s="39">
        <f>B49+1</f>
        <v>2</v>
      </c>
      <c r="C50" s="456">
        <v>102</v>
      </c>
      <c r="D50" s="457"/>
      <c r="E50" s="464"/>
      <c r="F50" s="472" t="s">
        <v>272</v>
      </c>
      <c r="G50" s="473"/>
      <c r="H50" s="473"/>
      <c r="I50" s="473"/>
      <c r="J50" s="474"/>
      <c r="K50" s="472" t="s">
        <v>76</v>
      </c>
      <c r="L50" s="473"/>
      <c r="M50" s="473"/>
      <c r="N50" s="473"/>
      <c r="O50" s="474"/>
      <c r="P50" s="472" t="s">
        <v>215</v>
      </c>
      <c r="Q50" s="473"/>
      <c r="R50" s="473"/>
      <c r="S50" s="473"/>
      <c r="T50" s="474"/>
      <c r="U50" s="472" t="s">
        <v>187</v>
      </c>
      <c r="V50" s="473"/>
      <c r="W50" s="473"/>
      <c r="X50" s="473"/>
      <c r="Y50" s="474"/>
      <c r="Z50" s="472" t="s">
        <v>195</v>
      </c>
      <c r="AA50" s="473"/>
      <c r="AB50" s="473"/>
      <c r="AC50" s="473"/>
      <c r="AD50" s="474"/>
      <c r="AE50" s="206" t="s">
        <v>323</v>
      </c>
      <c r="AF50" s="206"/>
      <c r="AG50" s="206"/>
      <c r="AH50" s="206"/>
      <c r="AI50" s="206"/>
      <c r="AJ50" s="206"/>
      <c r="AK50" s="456" t="s">
        <v>114</v>
      </c>
      <c r="AL50" s="457"/>
      <c r="AM50" s="464"/>
      <c r="AN50" s="456">
        <v>0</v>
      </c>
      <c r="AO50" s="457"/>
      <c r="AP50" s="464"/>
      <c r="AQ50" s="456">
        <v>1</v>
      </c>
      <c r="AR50" s="457"/>
      <c r="AS50" s="464"/>
      <c r="AT50" s="456" t="s">
        <v>266</v>
      </c>
      <c r="AU50" s="457"/>
      <c r="AV50" s="457"/>
      <c r="AW50" s="540"/>
      <c r="AX50" s="540"/>
      <c r="AY50" s="540"/>
      <c r="AZ50" s="207">
        <v>1</v>
      </c>
      <c r="BA50" s="208"/>
      <c r="BB50" s="209"/>
      <c r="BC50" s="206" t="s">
        <v>267</v>
      </c>
      <c r="BD50" s="206"/>
      <c r="BE50" s="206"/>
      <c r="BF50" s="206"/>
      <c r="BG50" s="206" t="s">
        <v>268</v>
      </c>
      <c r="BH50" s="206"/>
      <c r="BI50" s="206" t="s">
        <v>266</v>
      </c>
      <c r="BJ50" s="206"/>
      <c r="BK50" s="206"/>
      <c r="BL50" s="206"/>
      <c r="BM50" s="206" t="s">
        <v>266</v>
      </c>
      <c r="BN50" s="206"/>
      <c r="BO50" s="206"/>
      <c r="BP50" s="206"/>
      <c r="BQ50" s="475" t="s">
        <v>270</v>
      </c>
      <c r="BR50" s="475"/>
      <c r="BS50" s="475"/>
      <c r="BT50" s="475"/>
    </row>
    <row r="51" spans="2:72" ht="17" customHeight="1">
      <c r="B51" s="39">
        <f t="shared" ref="B51:B62" si="1">B50+1</f>
        <v>3</v>
      </c>
      <c r="C51" s="456">
        <v>103</v>
      </c>
      <c r="D51" s="457"/>
      <c r="E51" s="464"/>
      <c r="F51" s="472" t="s">
        <v>312</v>
      </c>
      <c r="G51" s="473"/>
      <c r="H51" s="473"/>
      <c r="I51" s="473"/>
      <c r="J51" s="474"/>
      <c r="K51" s="472" t="s">
        <v>409</v>
      </c>
      <c r="L51" s="473"/>
      <c r="M51" s="473"/>
      <c r="N51" s="473"/>
      <c r="O51" s="474"/>
      <c r="P51" s="472" t="s">
        <v>215</v>
      </c>
      <c r="Q51" s="473"/>
      <c r="R51" s="473"/>
      <c r="S51" s="473"/>
      <c r="T51" s="474"/>
      <c r="U51" s="472" t="s">
        <v>188</v>
      </c>
      <c r="V51" s="473"/>
      <c r="W51" s="473"/>
      <c r="X51" s="473"/>
      <c r="Y51" s="474"/>
      <c r="Z51" s="472" t="s">
        <v>193</v>
      </c>
      <c r="AA51" s="473"/>
      <c r="AB51" s="473"/>
      <c r="AC51" s="473"/>
      <c r="AD51" s="474"/>
      <c r="AE51" s="206" t="s">
        <v>324</v>
      </c>
      <c r="AF51" s="206"/>
      <c r="AG51" s="206"/>
      <c r="AH51" s="206"/>
      <c r="AI51" s="206"/>
      <c r="AJ51" s="206"/>
      <c r="AK51" s="456" t="s">
        <v>114</v>
      </c>
      <c r="AL51" s="457"/>
      <c r="AM51" s="464"/>
      <c r="AN51" s="456" t="s">
        <v>317</v>
      </c>
      <c r="AO51" s="457"/>
      <c r="AP51" s="464"/>
      <c r="AQ51" s="456" t="s">
        <v>317</v>
      </c>
      <c r="AR51" s="457"/>
      <c r="AS51" s="464"/>
      <c r="AT51" s="456" t="s">
        <v>266</v>
      </c>
      <c r="AU51" s="457"/>
      <c r="AV51" s="457"/>
      <c r="AW51" s="540"/>
      <c r="AX51" s="540"/>
      <c r="AY51" s="540"/>
      <c r="AZ51" s="207">
        <v>1</v>
      </c>
      <c r="BA51" s="208"/>
      <c r="BB51" s="209"/>
      <c r="BC51" s="206" t="s">
        <v>267</v>
      </c>
      <c r="BD51" s="206"/>
      <c r="BE51" s="206"/>
      <c r="BF51" s="206"/>
      <c r="BG51" s="206" t="s">
        <v>268</v>
      </c>
      <c r="BH51" s="206"/>
      <c r="BI51" s="206" t="s">
        <v>266</v>
      </c>
      <c r="BJ51" s="206"/>
      <c r="BK51" s="206"/>
      <c r="BL51" s="206"/>
      <c r="BM51" s="206" t="s">
        <v>266</v>
      </c>
      <c r="BN51" s="206"/>
      <c r="BO51" s="206"/>
      <c r="BP51" s="206"/>
      <c r="BQ51" s="475" t="s">
        <v>270</v>
      </c>
      <c r="BR51" s="475"/>
      <c r="BS51" s="475"/>
      <c r="BT51" s="475"/>
    </row>
    <row r="52" spans="2:72" ht="17" customHeight="1">
      <c r="B52" s="39">
        <f t="shared" si="1"/>
        <v>4</v>
      </c>
      <c r="C52" s="456">
        <v>104</v>
      </c>
      <c r="D52" s="457"/>
      <c r="E52" s="464"/>
      <c r="F52" s="472" t="s">
        <v>320</v>
      </c>
      <c r="G52" s="473"/>
      <c r="H52" s="473"/>
      <c r="I52" s="473"/>
      <c r="J52" s="474"/>
      <c r="K52" s="472" t="s">
        <v>313</v>
      </c>
      <c r="L52" s="473"/>
      <c r="M52" s="473"/>
      <c r="N52" s="473"/>
      <c r="O52" s="474"/>
      <c r="P52" s="472" t="s">
        <v>214</v>
      </c>
      <c r="Q52" s="473"/>
      <c r="R52" s="473"/>
      <c r="S52" s="473"/>
      <c r="T52" s="474"/>
      <c r="U52" s="472" t="s">
        <v>186</v>
      </c>
      <c r="V52" s="473"/>
      <c r="W52" s="473"/>
      <c r="X52" s="473"/>
      <c r="Y52" s="474"/>
      <c r="Z52" s="450" t="s">
        <v>274</v>
      </c>
      <c r="AA52" s="451"/>
      <c r="AB52" s="451"/>
      <c r="AC52" s="451"/>
      <c r="AD52" s="452"/>
      <c r="AE52" s="206" t="s">
        <v>325</v>
      </c>
      <c r="AF52" s="206"/>
      <c r="AG52" s="206"/>
      <c r="AH52" s="206"/>
      <c r="AI52" s="206"/>
      <c r="AJ52" s="206"/>
      <c r="AK52" s="456" t="s">
        <v>237</v>
      </c>
      <c r="AL52" s="457"/>
      <c r="AM52" s="464"/>
      <c r="AN52" s="456" t="s">
        <v>313</v>
      </c>
      <c r="AO52" s="457"/>
      <c r="AP52" s="464"/>
      <c r="AQ52" s="456" t="s">
        <v>313</v>
      </c>
      <c r="AR52" s="457"/>
      <c r="AS52" s="464"/>
      <c r="AT52" s="456" t="s">
        <v>266</v>
      </c>
      <c r="AU52" s="457"/>
      <c r="AV52" s="457"/>
      <c r="AW52" s="540"/>
      <c r="AX52" s="540"/>
      <c r="AY52" s="540"/>
      <c r="AZ52" s="207">
        <v>15</v>
      </c>
      <c r="BA52" s="208"/>
      <c r="BB52" s="209"/>
      <c r="BC52" s="206" t="s">
        <v>306</v>
      </c>
      <c r="BD52" s="206"/>
      <c r="BE52" s="206"/>
      <c r="BF52" s="206"/>
      <c r="BG52" s="480" t="s">
        <v>307</v>
      </c>
      <c r="BH52" s="480"/>
      <c r="BI52" s="206" t="s">
        <v>266</v>
      </c>
      <c r="BJ52" s="206"/>
      <c r="BK52" s="206"/>
      <c r="BL52" s="206"/>
      <c r="BM52" s="206" t="s">
        <v>50</v>
      </c>
      <c r="BN52" s="206"/>
      <c r="BO52" s="206"/>
      <c r="BP52" s="206"/>
      <c r="BQ52" s="475" t="s">
        <v>270</v>
      </c>
      <c r="BR52" s="475"/>
      <c r="BS52" s="475"/>
      <c r="BT52" s="475"/>
    </row>
    <row r="53" spans="2:72" ht="17" customHeight="1">
      <c r="B53" s="39">
        <f t="shared" si="1"/>
        <v>5</v>
      </c>
      <c r="C53" s="456">
        <v>105</v>
      </c>
      <c r="D53" s="457"/>
      <c r="E53" s="464"/>
      <c r="F53" s="472" t="s">
        <v>322</v>
      </c>
      <c r="G53" s="473"/>
      <c r="H53" s="473"/>
      <c r="I53" s="473"/>
      <c r="J53" s="474"/>
      <c r="K53" s="472" t="s">
        <v>313</v>
      </c>
      <c r="L53" s="473"/>
      <c r="M53" s="473"/>
      <c r="N53" s="473"/>
      <c r="O53" s="474"/>
      <c r="P53" s="472" t="s">
        <v>314</v>
      </c>
      <c r="Q53" s="473"/>
      <c r="R53" s="473"/>
      <c r="S53" s="473"/>
      <c r="T53" s="474"/>
      <c r="U53" s="450" t="s">
        <v>315</v>
      </c>
      <c r="V53" s="451"/>
      <c r="W53" s="451"/>
      <c r="X53" s="451"/>
      <c r="Y53" s="452"/>
      <c r="Z53" s="450" t="s">
        <v>316</v>
      </c>
      <c r="AA53" s="451"/>
      <c r="AB53" s="451"/>
      <c r="AC53" s="451"/>
      <c r="AD53" s="452"/>
      <c r="AE53" s="206" t="s">
        <v>326</v>
      </c>
      <c r="AF53" s="206"/>
      <c r="AG53" s="206"/>
      <c r="AH53" s="206"/>
      <c r="AI53" s="206"/>
      <c r="AJ53" s="206"/>
      <c r="AK53" s="456" t="s">
        <v>114</v>
      </c>
      <c r="AL53" s="457"/>
      <c r="AM53" s="464"/>
      <c r="AN53" s="456" t="s">
        <v>313</v>
      </c>
      <c r="AO53" s="457"/>
      <c r="AP53" s="464"/>
      <c r="AQ53" s="456" t="s">
        <v>313</v>
      </c>
      <c r="AR53" s="457"/>
      <c r="AS53" s="464"/>
      <c r="AT53" s="456" t="s">
        <v>266</v>
      </c>
      <c r="AU53" s="457"/>
      <c r="AV53" s="457"/>
      <c r="AW53" s="540"/>
      <c r="AX53" s="540"/>
      <c r="AY53" s="540"/>
      <c r="AZ53" s="207">
        <v>13</v>
      </c>
      <c r="BA53" s="208"/>
      <c r="BB53" s="209"/>
      <c r="BC53" s="206" t="s">
        <v>306</v>
      </c>
      <c r="BD53" s="206"/>
      <c r="BE53" s="206"/>
      <c r="BF53" s="206"/>
      <c r="BG53" s="480" t="s">
        <v>307</v>
      </c>
      <c r="BH53" s="480"/>
      <c r="BI53" s="206" t="s">
        <v>266</v>
      </c>
      <c r="BJ53" s="206"/>
      <c r="BK53" s="206"/>
      <c r="BL53" s="206"/>
      <c r="BM53" s="206" t="s">
        <v>318</v>
      </c>
      <c r="BN53" s="206"/>
      <c r="BO53" s="206"/>
      <c r="BP53" s="206"/>
      <c r="BQ53" s="475" t="s">
        <v>270</v>
      </c>
      <c r="BR53" s="475"/>
      <c r="BS53" s="475"/>
      <c r="BT53" s="475"/>
    </row>
    <row r="54" spans="2:72" ht="17" customHeight="1">
      <c r="B54" s="39">
        <f t="shared" si="1"/>
        <v>6</v>
      </c>
      <c r="C54" s="456">
        <v>106</v>
      </c>
      <c r="D54" s="457"/>
      <c r="E54" s="464"/>
      <c r="F54" s="472" t="s">
        <v>327</v>
      </c>
      <c r="G54" s="473"/>
      <c r="H54" s="473"/>
      <c r="I54" s="473"/>
      <c r="J54" s="474"/>
      <c r="K54" s="472" t="s">
        <v>313</v>
      </c>
      <c r="L54" s="473"/>
      <c r="M54" s="473"/>
      <c r="N54" s="473"/>
      <c r="O54" s="474"/>
      <c r="P54" s="450" t="s">
        <v>335</v>
      </c>
      <c r="Q54" s="451"/>
      <c r="R54" s="451"/>
      <c r="S54" s="451"/>
      <c r="T54" s="452"/>
      <c r="U54" s="472" t="s">
        <v>186</v>
      </c>
      <c r="V54" s="473"/>
      <c r="W54" s="473"/>
      <c r="X54" s="473"/>
      <c r="Y54" s="474"/>
      <c r="Z54" s="472" t="s">
        <v>193</v>
      </c>
      <c r="AA54" s="473"/>
      <c r="AB54" s="473"/>
      <c r="AC54" s="473"/>
      <c r="AD54" s="474"/>
      <c r="AE54" s="206" t="s">
        <v>336</v>
      </c>
      <c r="AF54" s="206"/>
      <c r="AG54" s="206"/>
      <c r="AH54" s="206"/>
      <c r="AI54" s="206"/>
      <c r="AJ54" s="206"/>
      <c r="AK54" s="456" t="s">
        <v>114</v>
      </c>
      <c r="AL54" s="457"/>
      <c r="AM54" s="464"/>
      <c r="AN54" s="456" t="s">
        <v>313</v>
      </c>
      <c r="AO54" s="457"/>
      <c r="AP54" s="464"/>
      <c r="AQ54" s="456" t="s">
        <v>313</v>
      </c>
      <c r="AR54" s="457"/>
      <c r="AS54" s="464"/>
      <c r="AT54" s="456" t="s">
        <v>266</v>
      </c>
      <c r="AU54" s="457"/>
      <c r="AV54" s="457"/>
      <c r="AW54" s="540"/>
      <c r="AX54" s="540"/>
      <c r="AY54" s="540"/>
      <c r="AZ54" s="207">
        <v>11</v>
      </c>
      <c r="BA54" s="208"/>
      <c r="BB54" s="209"/>
      <c r="BC54" s="206" t="s">
        <v>306</v>
      </c>
      <c r="BD54" s="206"/>
      <c r="BE54" s="206"/>
      <c r="BF54" s="206"/>
      <c r="BG54" s="480" t="s">
        <v>307</v>
      </c>
      <c r="BH54" s="480"/>
      <c r="BI54" s="206" t="s">
        <v>266</v>
      </c>
      <c r="BJ54" s="206"/>
      <c r="BK54" s="206"/>
      <c r="BL54" s="206"/>
      <c r="BM54" s="206" t="s">
        <v>337</v>
      </c>
      <c r="BN54" s="206"/>
      <c r="BO54" s="206"/>
      <c r="BP54" s="206"/>
      <c r="BQ54" s="475" t="s">
        <v>270</v>
      </c>
      <c r="BR54" s="475"/>
      <c r="BS54" s="475"/>
      <c r="BT54" s="475"/>
    </row>
    <row r="55" spans="2:72" ht="17" customHeight="1">
      <c r="B55" s="39">
        <f t="shared" si="1"/>
        <v>7</v>
      </c>
      <c r="C55" s="493">
        <v>2</v>
      </c>
      <c r="D55" s="494"/>
      <c r="E55" s="495"/>
      <c r="F55" s="472" t="s">
        <v>328</v>
      </c>
      <c r="G55" s="473"/>
      <c r="H55" s="473"/>
      <c r="I55" s="473"/>
      <c r="J55" s="474"/>
      <c r="K55" s="472" t="s">
        <v>313</v>
      </c>
      <c r="L55" s="473"/>
      <c r="M55" s="473"/>
      <c r="N55" s="473"/>
      <c r="O55" s="474"/>
      <c r="P55" s="472" t="s">
        <v>339</v>
      </c>
      <c r="Q55" s="473"/>
      <c r="R55" s="473"/>
      <c r="S55" s="473"/>
      <c r="T55" s="474"/>
      <c r="U55" s="472" t="s">
        <v>340</v>
      </c>
      <c r="V55" s="473"/>
      <c r="W55" s="473"/>
      <c r="X55" s="473"/>
      <c r="Y55" s="474"/>
      <c r="Z55" s="472" t="s">
        <v>341</v>
      </c>
      <c r="AA55" s="473"/>
      <c r="AB55" s="473"/>
      <c r="AC55" s="473"/>
      <c r="AD55" s="474"/>
      <c r="AE55" s="499" t="s">
        <v>1087</v>
      </c>
      <c r="AF55" s="499"/>
      <c r="AG55" s="499"/>
      <c r="AH55" s="499"/>
      <c r="AI55" s="499"/>
      <c r="AJ55" s="499"/>
      <c r="AK55" s="456" t="s">
        <v>114</v>
      </c>
      <c r="AL55" s="457"/>
      <c r="AM55" s="464"/>
      <c r="AN55" s="456" t="s">
        <v>313</v>
      </c>
      <c r="AO55" s="457"/>
      <c r="AP55" s="464"/>
      <c r="AQ55" s="456" t="s">
        <v>313</v>
      </c>
      <c r="AR55" s="457"/>
      <c r="AS55" s="464"/>
      <c r="AT55" s="456" t="s">
        <v>266</v>
      </c>
      <c r="AU55" s="457"/>
      <c r="AV55" s="457"/>
      <c r="AW55" s="540"/>
      <c r="AX55" s="540"/>
      <c r="AY55" s="540"/>
      <c r="AZ55" s="207">
        <v>5</v>
      </c>
      <c r="BA55" s="208"/>
      <c r="BB55" s="209"/>
      <c r="BC55" s="206" t="s">
        <v>306</v>
      </c>
      <c r="BD55" s="206"/>
      <c r="BE55" s="206"/>
      <c r="BF55" s="206"/>
      <c r="BG55" s="480" t="s">
        <v>307</v>
      </c>
      <c r="BH55" s="480"/>
      <c r="BI55" s="206" t="s">
        <v>266</v>
      </c>
      <c r="BJ55" s="206"/>
      <c r="BK55" s="206"/>
      <c r="BL55" s="206"/>
      <c r="BM55" s="206" t="s">
        <v>342</v>
      </c>
      <c r="BN55" s="206"/>
      <c r="BO55" s="206"/>
      <c r="BP55" s="206"/>
      <c r="BQ55" s="475" t="s">
        <v>270</v>
      </c>
      <c r="BR55" s="475"/>
      <c r="BS55" s="475"/>
      <c r="BT55" s="475"/>
    </row>
    <row r="56" spans="2:72" ht="17" customHeight="1">
      <c r="B56" s="39">
        <f t="shared" si="1"/>
        <v>8</v>
      </c>
      <c r="C56" s="456">
        <v>108</v>
      </c>
      <c r="D56" s="457"/>
      <c r="E56" s="464"/>
      <c r="F56" s="472" t="s">
        <v>329</v>
      </c>
      <c r="G56" s="473"/>
      <c r="H56" s="473"/>
      <c r="I56" s="473"/>
      <c r="J56" s="474"/>
      <c r="K56" s="472" t="s">
        <v>313</v>
      </c>
      <c r="L56" s="473"/>
      <c r="M56" s="473"/>
      <c r="N56" s="473"/>
      <c r="O56" s="474"/>
      <c r="P56" s="472" t="s">
        <v>215</v>
      </c>
      <c r="Q56" s="473"/>
      <c r="R56" s="473"/>
      <c r="S56" s="473"/>
      <c r="T56" s="474"/>
      <c r="U56" s="472" t="s">
        <v>186</v>
      </c>
      <c r="V56" s="473"/>
      <c r="W56" s="473"/>
      <c r="X56" s="473"/>
      <c r="Y56" s="474"/>
      <c r="Z56" s="472" t="s">
        <v>193</v>
      </c>
      <c r="AA56" s="473"/>
      <c r="AB56" s="473"/>
      <c r="AC56" s="473"/>
      <c r="AD56" s="474"/>
      <c r="AE56" s="317" t="s">
        <v>349</v>
      </c>
      <c r="AF56" s="206"/>
      <c r="AG56" s="206"/>
      <c r="AH56" s="206"/>
      <c r="AI56" s="206"/>
      <c r="AJ56" s="206"/>
      <c r="AK56" s="456" t="s">
        <v>114</v>
      </c>
      <c r="AL56" s="457"/>
      <c r="AM56" s="464"/>
      <c r="AN56" s="456" t="s">
        <v>313</v>
      </c>
      <c r="AO56" s="457"/>
      <c r="AP56" s="464"/>
      <c r="AQ56" s="456" t="s">
        <v>313</v>
      </c>
      <c r="AR56" s="457"/>
      <c r="AS56" s="464"/>
      <c r="AT56" s="490" t="s">
        <v>344</v>
      </c>
      <c r="AU56" s="491"/>
      <c r="AV56" s="491"/>
      <c r="AW56" s="540"/>
      <c r="AX56" s="540"/>
      <c r="AY56" s="540"/>
      <c r="AZ56" s="207">
        <v>3</v>
      </c>
      <c r="BA56" s="208"/>
      <c r="BB56" s="209"/>
      <c r="BC56" s="206" t="s">
        <v>345</v>
      </c>
      <c r="BD56" s="206"/>
      <c r="BE56" s="206"/>
      <c r="BF56" s="206"/>
      <c r="BG56" s="500" t="s">
        <v>309</v>
      </c>
      <c r="BH56" s="500"/>
      <c r="BI56" s="206" t="s">
        <v>716</v>
      </c>
      <c r="BJ56" s="206"/>
      <c r="BK56" s="206"/>
      <c r="BL56" s="206"/>
      <c r="BM56" s="206" t="s">
        <v>353</v>
      </c>
      <c r="BN56" s="206"/>
      <c r="BO56" s="206"/>
      <c r="BP56" s="206"/>
      <c r="BQ56" s="501" t="s">
        <v>346</v>
      </c>
      <c r="BR56" s="501"/>
      <c r="BS56" s="501"/>
      <c r="BT56" s="501"/>
    </row>
    <row r="57" spans="2:72" ht="19" customHeight="1">
      <c r="B57" s="239">
        <f t="shared" si="1"/>
        <v>9</v>
      </c>
      <c r="C57" s="502">
        <v>109</v>
      </c>
      <c r="D57" s="503"/>
      <c r="E57" s="504"/>
      <c r="F57" s="357" t="s">
        <v>348</v>
      </c>
      <c r="G57" s="358"/>
      <c r="H57" s="358"/>
      <c r="I57" s="358"/>
      <c r="J57" s="359"/>
      <c r="K57" s="357" t="s">
        <v>313</v>
      </c>
      <c r="L57" s="358"/>
      <c r="M57" s="358"/>
      <c r="N57" s="358"/>
      <c r="O57" s="359"/>
      <c r="P57" s="357" t="s">
        <v>215</v>
      </c>
      <c r="Q57" s="358"/>
      <c r="R57" s="358"/>
      <c r="S57" s="358"/>
      <c r="T57" s="359"/>
      <c r="U57" s="357" t="s">
        <v>186</v>
      </c>
      <c r="V57" s="358"/>
      <c r="W57" s="358"/>
      <c r="X57" s="358"/>
      <c r="Y57" s="359"/>
      <c r="Z57" s="357" t="s">
        <v>193</v>
      </c>
      <c r="AA57" s="358"/>
      <c r="AB57" s="358"/>
      <c r="AC57" s="358"/>
      <c r="AD57" s="359"/>
      <c r="AE57" s="369" t="s">
        <v>350</v>
      </c>
      <c r="AF57" s="370"/>
      <c r="AG57" s="370"/>
      <c r="AH57" s="370"/>
      <c r="AI57" s="370"/>
      <c r="AJ57" s="370"/>
      <c r="AK57" s="354" t="s">
        <v>114</v>
      </c>
      <c r="AL57" s="355"/>
      <c r="AM57" s="356"/>
      <c r="AN57" s="354" t="s">
        <v>313</v>
      </c>
      <c r="AO57" s="355"/>
      <c r="AP57" s="356"/>
      <c r="AQ57" s="354" t="s">
        <v>313</v>
      </c>
      <c r="AR57" s="355"/>
      <c r="AS57" s="356"/>
      <c r="AT57" s="354" t="s">
        <v>266</v>
      </c>
      <c r="AU57" s="355"/>
      <c r="AV57" s="355"/>
      <c r="AW57" s="540"/>
      <c r="AX57" s="540"/>
      <c r="AY57" s="540"/>
      <c r="AZ57" s="408" t="s">
        <v>714</v>
      </c>
      <c r="BA57" s="409"/>
      <c r="BB57" s="410"/>
      <c r="BC57" s="408" t="s">
        <v>719</v>
      </c>
      <c r="BD57" s="409"/>
      <c r="BE57" s="409"/>
      <c r="BF57" s="410"/>
      <c r="BG57" s="505" t="s">
        <v>309</v>
      </c>
      <c r="BH57" s="505"/>
      <c r="BI57" s="408" t="s">
        <v>1093</v>
      </c>
      <c r="BJ57" s="409"/>
      <c r="BK57" s="409"/>
      <c r="BL57" s="410"/>
      <c r="BM57" s="408" t="s">
        <v>717</v>
      </c>
      <c r="BN57" s="409"/>
      <c r="BO57" s="409"/>
      <c r="BP57" s="410"/>
      <c r="BQ57" s="506" t="s">
        <v>354</v>
      </c>
      <c r="BR57" s="507"/>
      <c r="BS57" s="507"/>
      <c r="BT57" s="508"/>
    </row>
    <row r="58" spans="2:72" ht="17" customHeight="1">
      <c r="B58" s="240"/>
      <c r="C58" s="512">
        <v>109</v>
      </c>
      <c r="D58" s="513"/>
      <c r="E58" s="514"/>
      <c r="F58" s="402" t="s">
        <v>347</v>
      </c>
      <c r="G58" s="403"/>
      <c r="H58" s="403"/>
      <c r="I58" s="403"/>
      <c r="J58" s="404"/>
      <c r="K58" s="402" t="s">
        <v>313</v>
      </c>
      <c r="L58" s="403"/>
      <c r="M58" s="403"/>
      <c r="N58" s="403"/>
      <c r="O58" s="404"/>
      <c r="P58" s="402" t="s">
        <v>215</v>
      </c>
      <c r="Q58" s="403"/>
      <c r="R58" s="403"/>
      <c r="S58" s="403"/>
      <c r="T58" s="404"/>
      <c r="U58" s="402" t="s">
        <v>186</v>
      </c>
      <c r="V58" s="403"/>
      <c r="W58" s="403"/>
      <c r="X58" s="403"/>
      <c r="Y58" s="404"/>
      <c r="Z58" s="402" t="s">
        <v>193</v>
      </c>
      <c r="AA58" s="403"/>
      <c r="AB58" s="403"/>
      <c r="AC58" s="403"/>
      <c r="AD58" s="404"/>
      <c r="AE58" s="515" t="s">
        <v>351</v>
      </c>
      <c r="AF58" s="240"/>
      <c r="AG58" s="240"/>
      <c r="AH58" s="240"/>
      <c r="AI58" s="240"/>
      <c r="AJ58" s="240"/>
      <c r="AK58" s="405" t="s">
        <v>114</v>
      </c>
      <c r="AL58" s="406"/>
      <c r="AM58" s="407"/>
      <c r="AN58" s="405" t="s">
        <v>313</v>
      </c>
      <c r="AO58" s="406"/>
      <c r="AP58" s="407"/>
      <c r="AQ58" s="405" t="s">
        <v>313</v>
      </c>
      <c r="AR58" s="406"/>
      <c r="AS58" s="407"/>
      <c r="AT58" s="405" t="s">
        <v>266</v>
      </c>
      <c r="AU58" s="406"/>
      <c r="AV58" s="406"/>
      <c r="AW58" s="540"/>
      <c r="AX58" s="540"/>
      <c r="AY58" s="540"/>
      <c r="AZ58" s="241">
        <v>4</v>
      </c>
      <c r="BA58" s="242"/>
      <c r="BB58" s="243"/>
      <c r="BC58" s="241" t="s">
        <v>715</v>
      </c>
      <c r="BD58" s="242"/>
      <c r="BE58" s="242"/>
      <c r="BF58" s="243"/>
      <c r="BG58" s="516" t="s">
        <v>309</v>
      </c>
      <c r="BH58" s="516"/>
      <c r="BI58" s="241" t="s">
        <v>1092</v>
      </c>
      <c r="BJ58" s="242"/>
      <c r="BK58" s="242"/>
      <c r="BL58" s="243"/>
      <c r="BM58" s="241" t="s">
        <v>718</v>
      </c>
      <c r="BN58" s="242"/>
      <c r="BO58" s="242"/>
      <c r="BP58" s="243"/>
      <c r="BQ58" s="509"/>
      <c r="BR58" s="510"/>
      <c r="BS58" s="510"/>
      <c r="BT58" s="511"/>
    </row>
    <row r="59" spans="2:72" ht="17" customHeight="1">
      <c r="B59" s="39">
        <f>B57+1</f>
        <v>10</v>
      </c>
      <c r="C59" s="490">
        <v>3</v>
      </c>
      <c r="D59" s="491"/>
      <c r="E59" s="492"/>
      <c r="F59" s="472" t="s">
        <v>331</v>
      </c>
      <c r="G59" s="473"/>
      <c r="H59" s="473"/>
      <c r="I59" s="473"/>
      <c r="J59" s="474"/>
      <c r="K59" s="472" t="s">
        <v>313</v>
      </c>
      <c r="L59" s="473"/>
      <c r="M59" s="473"/>
      <c r="N59" s="473"/>
      <c r="O59" s="474"/>
      <c r="P59" s="472" t="s">
        <v>215</v>
      </c>
      <c r="Q59" s="473"/>
      <c r="R59" s="473"/>
      <c r="S59" s="473"/>
      <c r="T59" s="474"/>
      <c r="U59" s="472" t="s">
        <v>186</v>
      </c>
      <c r="V59" s="473"/>
      <c r="W59" s="473"/>
      <c r="X59" s="473"/>
      <c r="Y59" s="474"/>
      <c r="Z59" s="472" t="s">
        <v>193</v>
      </c>
      <c r="AA59" s="473"/>
      <c r="AB59" s="473"/>
      <c r="AC59" s="473"/>
      <c r="AD59" s="474"/>
      <c r="AE59" s="317" t="s">
        <v>355</v>
      </c>
      <c r="AF59" s="206"/>
      <c r="AG59" s="206"/>
      <c r="AH59" s="206"/>
      <c r="AI59" s="206"/>
      <c r="AJ59" s="206"/>
      <c r="AK59" s="456" t="s">
        <v>114</v>
      </c>
      <c r="AL59" s="457"/>
      <c r="AM59" s="464"/>
      <c r="AN59" s="456" t="s">
        <v>313</v>
      </c>
      <c r="AO59" s="457"/>
      <c r="AP59" s="464"/>
      <c r="AQ59" s="456" t="s">
        <v>313</v>
      </c>
      <c r="AR59" s="457"/>
      <c r="AS59" s="464"/>
      <c r="AT59" s="456" t="s">
        <v>266</v>
      </c>
      <c r="AU59" s="457"/>
      <c r="AV59" s="457"/>
      <c r="AW59" s="540"/>
      <c r="AX59" s="540"/>
      <c r="AY59" s="540"/>
      <c r="AZ59" s="207">
        <v>6</v>
      </c>
      <c r="BA59" s="208"/>
      <c r="BB59" s="209"/>
      <c r="BC59" s="206" t="s">
        <v>345</v>
      </c>
      <c r="BD59" s="206"/>
      <c r="BE59" s="206"/>
      <c r="BF59" s="206"/>
      <c r="BG59" s="500" t="s">
        <v>309</v>
      </c>
      <c r="BH59" s="500"/>
      <c r="BI59" s="206" t="s">
        <v>200</v>
      </c>
      <c r="BJ59" s="206"/>
      <c r="BK59" s="206"/>
      <c r="BL59" s="206"/>
      <c r="BM59" s="206" t="s">
        <v>353</v>
      </c>
      <c r="BN59" s="206"/>
      <c r="BO59" s="206"/>
      <c r="BP59" s="206"/>
      <c r="BQ59" s="501" t="s">
        <v>346</v>
      </c>
      <c r="BR59" s="501"/>
      <c r="BS59" s="501"/>
      <c r="BT59" s="501"/>
    </row>
    <row r="60" spans="2:72" ht="17" customHeight="1">
      <c r="B60" s="39">
        <f t="shared" si="1"/>
        <v>11</v>
      </c>
      <c r="C60" s="490" t="s">
        <v>317</v>
      </c>
      <c r="D60" s="491"/>
      <c r="E60" s="492"/>
      <c r="F60" s="472" t="s">
        <v>332</v>
      </c>
      <c r="G60" s="473"/>
      <c r="H60" s="473"/>
      <c r="I60" s="473"/>
      <c r="J60" s="474"/>
      <c r="K60" s="472" t="s">
        <v>313</v>
      </c>
      <c r="L60" s="473"/>
      <c r="M60" s="473"/>
      <c r="N60" s="473"/>
      <c r="O60" s="474"/>
      <c r="P60" s="472" t="s">
        <v>215</v>
      </c>
      <c r="Q60" s="473"/>
      <c r="R60" s="473"/>
      <c r="S60" s="473"/>
      <c r="T60" s="474"/>
      <c r="U60" s="472" t="s">
        <v>186</v>
      </c>
      <c r="V60" s="473"/>
      <c r="W60" s="473"/>
      <c r="X60" s="473"/>
      <c r="Y60" s="474"/>
      <c r="Z60" s="472" t="s">
        <v>193</v>
      </c>
      <c r="AA60" s="473"/>
      <c r="AB60" s="473"/>
      <c r="AC60" s="473"/>
      <c r="AD60" s="474"/>
      <c r="AE60" s="317" t="s">
        <v>362</v>
      </c>
      <c r="AF60" s="206"/>
      <c r="AG60" s="206"/>
      <c r="AH60" s="206"/>
      <c r="AI60" s="206"/>
      <c r="AJ60" s="206"/>
      <c r="AK60" s="456" t="s">
        <v>114</v>
      </c>
      <c r="AL60" s="457"/>
      <c r="AM60" s="464"/>
      <c r="AN60" s="456" t="s">
        <v>313</v>
      </c>
      <c r="AO60" s="457"/>
      <c r="AP60" s="464"/>
      <c r="AQ60" s="456" t="s">
        <v>313</v>
      </c>
      <c r="AR60" s="457"/>
      <c r="AS60" s="464"/>
      <c r="AT60" s="456" t="s">
        <v>266</v>
      </c>
      <c r="AU60" s="457"/>
      <c r="AV60" s="457"/>
      <c r="AW60" s="540"/>
      <c r="AX60" s="540"/>
      <c r="AY60" s="540"/>
      <c r="AZ60" s="207">
        <v>7</v>
      </c>
      <c r="BA60" s="208"/>
      <c r="BB60" s="209"/>
      <c r="BC60" s="206" t="s">
        <v>345</v>
      </c>
      <c r="BD60" s="206"/>
      <c r="BE60" s="206"/>
      <c r="BF60" s="206"/>
      <c r="BG60" s="500" t="s">
        <v>309</v>
      </c>
      <c r="BH60" s="500"/>
      <c r="BI60" s="206" t="s">
        <v>200</v>
      </c>
      <c r="BJ60" s="206"/>
      <c r="BK60" s="206"/>
      <c r="BL60" s="206"/>
      <c r="BM60" s="206" t="s">
        <v>353</v>
      </c>
      <c r="BN60" s="206"/>
      <c r="BO60" s="206"/>
      <c r="BP60" s="206"/>
      <c r="BQ60" s="501" t="s">
        <v>346</v>
      </c>
      <c r="BR60" s="501"/>
      <c r="BS60" s="501"/>
      <c r="BT60" s="501"/>
    </row>
    <row r="61" spans="2:72" ht="17" customHeight="1">
      <c r="B61" s="39">
        <f t="shared" si="1"/>
        <v>12</v>
      </c>
      <c r="C61" s="490">
        <v>12345678901</v>
      </c>
      <c r="D61" s="491"/>
      <c r="E61" s="492"/>
      <c r="F61" s="472" t="s">
        <v>333</v>
      </c>
      <c r="G61" s="473"/>
      <c r="H61" s="473"/>
      <c r="I61" s="473"/>
      <c r="J61" s="474"/>
      <c r="K61" s="472" t="s">
        <v>313</v>
      </c>
      <c r="L61" s="473"/>
      <c r="M61" s="473"/>
      <c r="N61" s="473"/>
      <c r="O61" s="474"/>
      <c r="P61" s="472" t="s">
        <v>215</v>
      </c>
      <c r="Q61" s="473"/>
      <c r="R61" s="473"/>
      <c r="S61" s="473"/>
      <c r="T61" s="474"/>
      <c r="U61" s="472" t="s">
        <v>186</v>
      </c>
      <c r="V61" s="473"/>
      <c r="W61" s="473"/>
      <c r="X61" s="473"/>
      <c r="Y61" s="474"/>
      <c r="Z61" s="472" t="s">
        <v>193</v>
      </c>
      <c r="AA61" s="473"/>
      <c r="AB61" s="473"/>
      <c r="AC61" s="473"/>
      <c r="AD61" s="474"/>
      <c r="AE61" s="317" t="s">
        <v>363</v>
      </c>
      <c r="AF61" s="206"/>
      <c r="AG61" s="206"/>
      <c r="AH61" s="206"/>
      <c r="AI61" s="206"/>
      <c r="AJ61" s="206"/>
      <c r="AK61" s="456" t="s">
        <v>114</v>
      </c>
      <c r="AL61" s="457"/>
      <c r="AM61" s="464"/>
      <c r="AN61" s="456" t="s">
        <v>313</v>
      </c>
      <c r="AO61" s="457"/>
      <c r="AP61" s="464"/>
      <c r="AQ61" s="456" t="s">
        <v>313</v>
      </c>
      <c r="AR61" s="457"/>
      <c r="AS61" s="464"/>
      <c r="AT61" s="456" t="s">
        <v>266</v>
      </c>
      <c r="AU61" s="457"/>
      <c r="AV61" s="457"/>
      <c r="AW61" s="540"/>
      <c r="AX61" s="540"/>
      <c r="AY61" s="540"/>
      <c r="AZ61" s="207">
        <v>7</v>
      </c>
      <c r="BA61" s="208"/>
      <c r="BB61" s="209"/>
      <c r="BC61" s="206" t="s">
        <v>345</v>
      </c>
      <c r="BD61" s="206"/>
      <c r="BE61" s="206"/>
      <c r="BF61" s="206"/>
      <c r="BG61" s="500" t="s">
        <v>309</v>
      </c>
      <c r="BH61" s="500"/>
      <c r="BI61" s="206" t="s">
        <v>200</v>
      </c>
      <c r="BJ61" s="206"/>
      <c r="BK61" s="206"/>
      <c r="BL61" s="206"/>
      <c r="BM61" s="206" t="s">
        <v>353</v>
      </c>
      <c r="BN61" s="206"/>
      <c r="BO61" s="206"/>
      <c r="BP61" s="206"/>
      <c r="BQ61" s="501" t="s">
        <v>346</v>
      </c>
      <c r="BR61" s="501"/>
      <c r="BS61" s="501"/>
      <c r="BT61" s="501"/>
    </row>
    <row r="62" spans="2:72" ht="17" customHeight="1">
      <c r="B62" s="39">
        <f t="shared" si="1"/>
        <v>13</v>
      </c>
      <c r="C62" s="490" t="s">
        <v>361</v>
      </c>
      <c r="D62" s="491"/>
      <c r="E62" s="492"/>
      <c r="F62" s="472" t="s">
        <v>334</v>
      </c>
      <c r="G62" s="473"/>
      <c r="H62" s="473"/>
      <c r="I62" s="473"/>
      <c r="J62" s="474"/>
      <c r="K62" s="472" t="s">
        <v>313</v>
      </c>
      <c r="L62" s="473"/>
      <c r="M62" s="473"/>
      <c r="N62" s="473"/>
      <c r="O62" s="474"/>
      <c r="P62" s="472" t="s">
        <v>215</v>
      </c>
      <c r="Q62" s="473"/>
      <c r="R62" s="473"/>
      <c r="S62" s="473"/>
      <c r="T62" s="474"/>
      <c r="U62" s="472" t="s">
        <v>186</v>
      </c>
      <c r="V62" s="473"/>
      <c r="W62" s="473"/>
      <c r="X62" s="473"/>
      <c r="Y62" s="474"/>
      <c r="Z62" s="472" t="s">
        <v>193</v>
      </c>
      <c r="AA62" s="473"/>
      <c r="AB62" s="473"/>
      <c r="AC62" s="473"/>
      <c r="AD62" s="474"/>
      <c r="AE62" s="317" t="s">
        <v>364</v>
      </c>
      <c r="AF62" s="206"/>
      <c r="AG62" s="206"/>
      <c r="AH62" s="206"/>
      <c r="AI62" s="206"/>
      <c r="AJ62" s="206"/>
      <c r="AK62" s="456" t="s">
        <v>114</v>
      </c>
      <c r="AL62" s="457"/>
      <c r="AM62" s="464"/>
      <c r="AN62" s="456" t="s">
        <v>313</v>
      </c>
      <c r="AO62" s="457"/>
      <c r="AP62" s="464"/>
      <c r="AQ62" s="456" t="s">
        <v>313</v>
      </c>
      <c r="AR62" s="457"/>
      <c r="AS62" s="464"/>
      <c r="AT62" s="456" t="s">
        <v>266</v>
      </c>
      <c r="AU62" s="457"/>
      <c r="AV62" s="457"/>
      <c r="AW62" s="540"/>
      <c r="AX62" s="540"/>
      <c r="AY62" s="540"/>
      <c r="AZ62" s="207">
        <v>8</v>
      </c>
      <c r="BA62" s="208"/>
      <c r="BB62" s="209"/>
      <c r="BC62" s="206" t="s">
        <v>345</v>
      </c>
      <c r="BD62" s="206"/>
      <c r="BE62" s="206"/>
      <c r="BF62" s="206"/>
      <c r="BG62" s="500" t="s">
        <v>309</v>
      </c>
      <c r="BH62" s="500"/>
      <c r="BI62" s="206" t="s">
        <v>200</v>
      </c>
      <c r="BJ62" s="206"/>
      <c r="BK62" s="206"/>
      <c r="BL62" s="206"/>
      <c r="BM62" s="206" t="s">
        <v>353</v>
      </c>
      <c r="BN62" s="206"/>
      <c r="BO62" s="206"/>
      <c r="BP62" s="206"/>
      <c r="BQ62" s="501" t="s">
        <v>346</v>
      </c>
      <c r="BR62" s="501"/>
      <c r="BS62" s="501"/>
      <c r="BT62" s="501"/>
    </row>
    <row r="63" spans="2:72" ht="17" customHeight="1">
      <c r="B63" s="39">
        <f t="shared" ref="B63:B68" si="2">B62+1</f>
        <v>14</v>
      </c>
      <c r="C63" s="456">
        <v>114</v>
      </c>
      <c r="D63" s="457"/>
      <c r="E63" s="464"/>
      <c r="F63" s="517" t="s">
        <v>317</v>
      </c>
      <c r="G63" s="518"/>
      <c r="H63" s="518"/>
      <c r="I63" s="518"/>
      <c r="J63" s="519"/>
      <c r="K63" s="472" t="s">
        <v>313</v>
      </c>
      <c r="L63" s="473"/>
      <c r="M63" s="473"/>
      <c r="N63" s="473"/>
      <c r="O63" s="474"/>
      <c r="P63" s="472" t="s">
        <v>215</v>
      </c>
      <c r="Q63" s="473"/>
      <c r="R63" s="473"/>
      <c r="S63" s="473"/>
      <c r="T63" s="474"/>
      <c r="U63" s="472" t="s">
        <v>186</v>
      </c>
      <c r="V63" s="473"/>
      <c r="W63" s="473"/>
      <c r="X63" s="473"/>
      <c r="Y63" s="474"/>
      <c r="Z63" s="472" t="s">
        <v>193</v>
      </c>
      <c r="AA63" s="473"/>
      <c r="AB63" s="473"/>
      <c r="AC63" s="473"/>
      <c r="AD63" s="474"/>
      <c r="AE63" s="317" t="s">
        <v>365</v>
      </c>
      <c r="AF63" s="206"/>
      <c r="AG63" s="206"/>
      <c r="AH63" s="206"/>
      <c r="AI63" s="206"/>
      <c r="AJ63" s="206"/>
      <c r="AK63" s="456" t="s">
        <v>114</v>
      </c>
      <c r="AL63" s="457"/>
      <c r="AM63" s="464"/>
      <c r="AN63" s="456" t="s">
        <v>313</v>
      </c>
      <c r="AO63" s="457"/>
      <c r="AP63" s="464"/>
      <c r="AQ63" s="456" t="s">
        <v>313</v>
      </c>
      <c r="AR63" s="457"/>
      <c r="AS63" s="464"/>
      <c r="AT63" s="456" t="s">
        <v>266</v>
      </c>
      <c r="AU63" s="457"/>
      <c r="AV63" s="457"/>
      <c r="AW63" s="540"/>
      <c r="AX63" s="540"/>
      <c r="AY63" s="540"/>
      <c r="AZ63" s="207">
        <v>9</v>
      </c>
      <c r="BA63" s="208"/>
      <c r="BB63" s="209"/>
      <c r="BC63" s="206" t="s">
        <v>345</v>
      </c>
      <c r="BD63" s="206"/>
      <c r="BE63" s="206"/>
      <c r="BF63" s="206"/>
      <c r="BG63" s="500" t="s">
        <v>309</v>
      </c>
      <c r="BH63" s="500"/>
      <c r="BI63" s="206" t="s">
        <v>202</v>
      </c>
      <c r="BJ63" s="206"/>
      <c r="BK63" s="206"/>
      <c r="BL63" s="206"/>
      <c r="BM63" s="206" t="s">
        <v>353</v>
      </c>
      <c r="BN63" s="206"/>
      <c r="BO63" s="206"/>
      <c r="BP63" s="206"/>
      <c r="BQ63" s="501" t="s">
        <v>346</v>
      </c>
      <c r="BR63" s="501"/>
      <c r="BS63" s="501"/>
      <c r="BT63" s="501"/>
    </row>
    <row r="64" spans="2:72" ht="17" customHeight="1">
      <c r="B64" s="39">
        <f t="shared" si="2"/>
        <v>15</v>
      </c>
      <c r="C64" s="456">
        <v>115</v>
      </c>
      <c r="D64" s="457"/>
      <c r="E64" s="464"/>
      <c r="F64" s="472" t="s">
        <v>356</v>
      </c>
      <c r="G64" s="473"/>
      <c r="H64" s="473"/>
      <c r="I64" s="473"/>
      <c r="J64" s="474"/>
      <c r="K64" s="472" t="s">
        <v>313</v>
      </c>
      <c r="L64" s="473"/>
      <c r="M64" s="473"/>
      <c r="N64" s="473"/>
      <c r="O64" s="474"/>
      <c r="P64" s="517" t="s">
        <v>317</v>
      </c>
      <c r="Q64" s="518"/>
      <c r="R64" s="518"/>
      <c r="S64" s="518"/>
      <c r="T64" s="519"/>
      <c r="U64" s="472" t="s">
        <v>186</v>
      </c>
      <c r="V64" s="473"/>
      <c r="W64" s="473"/>
      <c r="X64" s="473"/>
      <c r="Y64" s="474"/>
      <c r="Z64" s="472" t="s">
        <v>193</v>
      </c>
      <c r="AA64" s="473"/>
      <c r="AB64" s="473"/>
      <c r="AC64" s="473"/>
      <c r="AD64" s="474"/>
      <c r="AE64" s="317" t="s">
        <v>366</v>
      </c>
      <c r="AF64" s="206"/>
      <c r="AG64" s="206"/>
      <c r="AH64" s="206"/>
      <c r="AI64" s="206"/>
      <c r="AJ64" s="206"/>
      <c r="AK64" s="456" t="s">
        <v>114</v>
      </c>
      <c r="AL64" s="457"/>
      <c r="AM64" s="464"/>
      <c r="AN64" s="456" t="s">
        <v>313</v>
      </c>
      <c r="AO64" s="457"/>
      <c r="AP64" s="464"/>
      <c r="AQ64" s="456" t="s">
        <v>313</v>
      </c>
      <c r="AR64" s="457"/>
      <c r="AS64" s="464"/>
      <c r="AT64" s="456" t="s">
        <v>266</v>
      </c>
      <c r="AU64" s="457"/>
      <c r="AV64" s="457"/>
      <c r="AW64" s="540"/>
      <c r="AX64" s="540"/>
      <c r="AY64" s="540"/>
      <c r="AZ64" s="207">
        <v>10</v>
      </c>
      <c r="BA64" s="208"/>
      <c r="BB64" s="209"/>
      <c r="BC64" s="206" t="s">
        <v>345</v>
      </c>
      <c r="BD64" s="206"/>
      <c r="BE64" s="206"/>
      <c r="BF64" s="206"/>
      <c r="BG64" s="500" t="s">
        <v>309</v>
      </c>
      <c r="BH64" s="500"/>
      <c r="BI64" s="206" t="s">
        <v>51</v>
      </c>
      <c r="BJ64" s="206"/>
      <c r="BK64" s="206"/>
      <c r="BL64" s="206"/>
      <c r="BM64" s="206" t="s">
        <v>353</v>
      </c>
      <c r="BN64" s="206"/>
      <c r="BO64" s="206"/>
      <c r="BP64" s="206"/>
      <c r="BQ64" s="501" t="s">
        <v>346</v>
      </c>
      <c r="BR64" s="501"/>
      <c r="BS64" s="501"/>
      <c r="BT64" s="501"/>
    </row>
    <row r="65" spans="2:72" ht="17" customHeight="1">
      <c r="B65" s="39">
        <f t="shared" si="2"/>
        <v>16</v>
      </c>
      <c r="C65" s="456">
        <v>116</v>
      </c>
      <c r="D65" s="457"/>
      <c r="E65" s="464"/>
      <c r="F65" s="472" t="s">
        <v>357</v>
      </c>
      <c r="G65" s="473"/>
      <c r="H65" s="473"/>
      <c r="I65" s="473"/>
      <c r="J65" s="474"/>
      <c r="K65" s="472" t="s">
        <v>313</v>
      </c>
      <c r="L65" s="473"/>
      <c r="M65" s="473"/>
      <c r="N65" s="473"/>
      <c r="O65" s="474"/>
      <c r="P65" s="472" t="s">
        <v>215</v>
      </c>
      <c r="Q65" s="473"/>
      <c r="R65" s="473"/>
      <c r="S65" s="473"/>
      <c r="T65" s="474"/>
      <c r="U65" s="517" t="s">
        <v>317</v>
      </c>
      <c r="V65" s="518"/>
      <c r="W65" s="518"/>
      <c r="X65" s="518"/>
      <c r="Y65" s="519"/>
      <c r="Z65" s="472" t="s">
        <v>193</v>
      </c>
      <c r="AA65" s="473"/>
      <c r="AB65" s="473"/>
      <c r="AC65" s="473"/>
      <c r="AD65" s="474"/>
      <c r="AE65" s="317" t="s">
        <v>367</v>
      </c>
      <c r="AF65" s="206"/>
      <c r="AG65" s="206"/>
      <c r="AH65" s="206"/>
      <c r="AI65" s="206"/>
      <c r="AJ65" s="206"/>
      <c r="AK65" s="456" t="s">
        <v>114</v>
      </c>
      <c r="AL65" s="457"/>
      <c r="AM65" s="464"/>
      <c r="AN65" s="456" t="s">
        <v>313</v>
      </c>
      <c r="AO65" s="457"/>
      <c r="AP65" s="464"/>
      <c r="AQ65" s="456" t="s">
        <v>313</v>
      </c>
      <c r="AR65" s="457"/>
      <c r="AS65" s="464"/>
      <c r="AT65" s="456" t="s">
        <v>266</v>
      </c>
      <c r="AU65" s="457"/>
      <c r="AV65" s="457"/>
      <c r="AW65" s="540"/>
      <c r="AX65" s="540"/>
      <c r="AY65" s="540"/>
      <c r="AZ65" s="207">
        <v>12</v>
      </c>
      <c r="BA65" s="208"/>
      <c r="BB65" s="209"/>
      <c r="BC65" s="206" t="s">
        <v>345</v>
      </c>
      <c r="BD65" s="206"/>
      <c r="BE65" s="206"/>
      <c r="BF65" s="206"/>
      <c r="BG65" s="500" t="s">
        <v>309</v>
      </c>
      <c r="BH65" s="500"/>
      <c r="BI65" s="206" t="s">
        <v>368</v>
      </c>
      <c r="BJ65" s="206"/>
      <c r="BK65" s="206"/>
      <c r="BL65" s="206"/>
      <c r="BM65" s="206" t="s">
        <v>353</v>
      </c>
      <c r="BN65" s="206"/>
      <c r="BO65" s="206"/>
      <c r="BP65" s="206"/>
      <c r="BQ65" s="501" t="s">
        <v>346</v>
      </c>
      <c r="BR65" s="501"/>
      <c r="BS65" s="501"/>
      <c r="BT65" s="501"/>
    </row>
    <row r="66" spans="2:72" ht="17" customHeight="1">
      <c r="B66" s="39">
        <f t="shared" si="2"/>
        <v>17</v>
      </c>
      <c r="C66" s="456">
        <v>117</v>
      </c>
      <c r="D66" s="457"/>
      <c r="E66" s="464"/>
      <c r="F66" s="472" t="s">
        <v>358</v>
      </c>
      <c r="G66" s="473"/>
      <c r="H66" s="473"/>
      <c r="I66" s="473"/>
      <c r="J66" s="474"/>
      <c r="K66" s="472" t="s">
        <v>313</v>
      </c>
      <c r="L66" s="473"/>
      <c r="M66" s="473"/>
      <c r="N66" s="473"/>
      <c r="O66" s="474"/>
      <c r="P66" s="472" t="s">
        <v>215</v>
      </c>
      <c r="Q66" s="473"/>
      <c r="R66" s="473"/>
      <c r="S66" s="473"/>
      <c r="T66" s="474"/>
      <c r="U66" s="472" t="s">
        <v>186</v>
      </c>
      <c r="V66" s="473"/>
      <c r="W66" s="473"/>
      <c r="X66" s="473"/>
      <c r="Y66" s="474"/>
      <c r="Z66" s="517" t="s">
        <v>317</v>
      </c>
      <c r="AA66" s="518"/>
      <c r="AB66" s="518"/>
      <c r="AC66" s="518"/>
      <c r="AD66" s="519"/>
      <c r="AE66" s="317" t="s">
        <v>370</v>
      </c>
      <c r="AF66" s="206"/>
      <c r="AG66" s="206"/>
      <c r="AH66" s="206"/>
      <c r="AI66" s="206"/>
      <c r="AJ66" s="206"/>
      <c r="AK66" s="456" t="s">
        <v>114</v>
      </c>
      <c r="AL66" s="457"/>
      <c r="AM66" s="464"/>
      <c r="AN66" s="456" t="s">
        <v>313</v>
      </c>
      <c r="AO66" s="457"/>
      <c r="AP66" s="464"/>
      <c r="AQ66" s="456" t="s">
        <v>313</v>
      </c>
      <c r="AR66" s="457"/>
      <c r="AS66" s="464"/>
      <c r="AT66" s="456" t="s">
        <v>266</v>
      </c>
      <c r="AU66" s="457"/>
      <c r="AV66" s="457"/>
      <c r="AW66" s="540"/>
      <c r="AX66" s="540"/>
      <c r="AY66" s="540"/>
      <c r="AZ66" s="207">
        <v>14</v>
      </c>
      <c r="BA66" s="208"/>
      <c r="BB66" s="209"/>
      <c r="BC66" s="206" t="s">
        <v>345</v>
      </c>
      <c r="BD66" s="206"/>
      <c r="BE66" s="206"/>
      <c r="BF66" s="206"/>
      <c r="BG66" s="500" t="s">
        <v>309</v>
      </c>
      <c r="BH66" s="500"/>
      <c r="BI66" s="206" t="s">
        <v>369</v>
      </c>
      <c r="BJ66" s="206"/>
      <c r="BK66" s="206"/>
      <c r="BL66" s="206"/>
      <c r="BM66" s="206" t="s">
        <v>353</v>
      </c>
      <c r="BN66" s="206"/>
      <c r="BO66" s="206"/>
      <c r="BP66" s="206"/>
      <c r="BQ66" s="501" t="s">
        <v>346</v>
      </c>
      <c r="BR66" s="501"/>
      <c r="BS66" s="501"/>
      <c r="BT66" s="501"/>
    </row>
    <row r="67" spans="2:72" ht="17" customHeight="1">
      <c r="B67" s="39">
        <f t="shared" si="2"/>
        <v>18</v>
      </c>
      <c r="C67" s="456">
        <v>118</v>
      </c>
      <c r="D67" s="457"/>
      <c r="E67" s="464"/>
      <c r="F67" s="472" t="s">
        <v>359</v>
      </c>
      <c r="G67" s="473"/>
      <c r="H67" s="473"/>
      <c r="I67" s="473"/>
      <c r="J67" s="474"/>
      <c r="K67" s="472" t="s">
        <v>313</v>
      </c>
      <c r="L67" s="473"/>
      <c r="M67" s="473"/>
      <c r="N67" s="473"/>
      <c r="O67" s="474"/>
      <c r="P67" s="472" t="s">
        <v>215</v>
      </c>
      <c r="Q67" s="473"/>
      <c r="R67" s="473"/>
      <c r="S67" s="473"/>
      <c r="T67" s="474"/>
      <c r="U67" s="472" t="s">
        <v>186</v>
      </c>
      <c r="V67" s="473"/>
      <c r="W67" s="473"/>
      <c r="X67" s="473"/>
      <c r="Y67" s="474"/>
      <c r="Z67" s="472" t="s">
        <v>193</v>
      </c>
      <c r="AA67" s="473"/>
      <c r="AB67" s="473"/>
      <c r="AC67" s="473"/>
      <c r="AD67" s="474"/>
      <c r="AE67" s="517" t="s">
        <v>317</v>
      </c>
      <c r="AF67" s="518"/>
      <c r="AG67" s="518"/>
      <c r="AH67" s="518"/>
      <c r="AI67" s="518"/>
      <c r="AJ67" s="519"/>
      <c r="AK67" s="456" t="s">
        <v>114</v>
      </c>
      <c r="AL67" s="457"/>
      <c r="AM67" s="464"/>
      <c r="AN67" s="456" t="s">
        <v>313</v>
      </c>
      <c r="AO67" s="457"/>
      <c r="AP67" s="464"/>
      <c r="AQ67" s="456" t="s">
        <v>313</v>
      </c>
      <c r="AR67" s="457"/>
      <c r="AS67" s="464"/>
      <c r="AT67" s="456" t="s">
        <v>266</v>
      </c>
      <c r="AU67" s="457"/>
      <c r="AV67" s="457"/>
      <c r="AW67" s="540"/>
      <c r="AX67" s="540"/>
      <c r="AY67" s="540"/>
      <c r="AZ67" s="207">
        <v>16</v>
      </c>
      <c r="BA67" s="208"/>
      <c r="BB67" s="209"/>
      <c r="BC67" s="206" t="s">
        <v>345</v>
      </c>
      <c r="BD67" s="206"/>
      <c r="BE67" s="206"/>
      <c r="BF67" s="206"/>
      <c r="BG67" s="500" t="s">
        <v>309</v>
      </c>
      <c r="BH67" s="500"/>
      <c r="BI67" s="206" t="s">
        <v>371</v>
      </c>
      <c r="BJ67" s="206"/>
      <c r="BK67" s="206"/>
      <c r="BL67" s="206"/>
      <c r="BM67" s="206" t="s">
        <v>353</v>
      </c>
      <c r="BN67" s="206"/>
      <c r="BO67" s="206"/>
      <c r="BP67" s="206"/>
      <c r="BQ67" s="501" t="s">
        <v>346</v>
      </c>
      <c r="BR67" s="501"/>
      <c r="BS67" s="501"/>
      <c r="BT67" s="501"/>
    </row>
    <row r="68" spans="2:72" ht="17" customHeight="1">
      <c r="B68" s="39">
        <f t="shared" si="2"/>
        <v>19</v>
      </c>
      <c r="C68" s="456">
        <v>119</v>
      </c>
      <c r="D68" s="457"/>
      <c r="E68" s="464"/>
      <c r="F68" s="472" t="s">
        <v>360</v>
      </c>
      <c r="G68" s="473"/>
      <c r="H68" s="473"/>
      <c r="I68" s="473"/>
      <c r="J68" s="474"/>
      <c r="K68" s="472" t="s">
        <v>313</v>
      </c>
      <c r="L68" s="473"/>
      <c r="M68" s="473"/>
      <c r="N68" s="473"/>
      <c r="O68" s="474"/>
      <c r="P68" s="472" t="s">
        <v>215</v>
      </c>
      <c r="Q68" s="473"/>
      <c r="R68" s="473"/>
      <c r="S68" s="473"/>
      <c r="T68" s="474"/>
      <c r="U68" s="472" t="s">
        <v>186</v>
      </c>
      <c r="V68" s="473"/>
      <c r="W68" s="473"/>
      <c r="X68" s="473"/>
      <c r="Y68" s="474"/>
      <c r="Z68" s="472" t="s">
        <v>193</v>
      </c>
      <c r="AA68" s="473"/>
      <c r="AB68" s="473"/>
      <c r="AC68" s="473"/>
      <c r="AD68" s="474"/>
      <c r="AE68" s="520" t="s">
        <v>338</v>
      </c>
      <c r="AF68" s="520"/>
      <c r="AG68" s="520"/>
      <c r="AH68" s="520"/>
      <c r="AI68" s="520"/>
      <c r="AJ68" s="520"/>
      <c r="AK68" s="456" t="s">
        <v>114</v>
      </c>
      <c r="AL68" s="457"/>
      <c r="AM68" s="464"/>
      <c r="AN68" s="456" t="s">
        <v>313</v>
      </c>
      <c r="AO68" s="457"/>
      <c r="AP68" s="464"/>
      <c r="AQ68" s="456" t="s">
        <v>313</v>
      </c>
      <c r="AR68" s="457"/>
      <c r="AS68" s="464"/>
      <c r="AT68" s="456" t="s">
        <v>266</v>
      </c>
      <c r="AU68" s="457"/>
      <c r="AV68" s="457"/>
      <c r="AW68" s="540"/>
      <c r="AX68" s="540"/>
      <c r="AY68" s="540"/>
      <c r="AZ68" s="207">
        <v>17</v>
      </c>
      <c r="BA68" s="208"/>
      <c r="BB68" s="209"/>
      <c r="BC68" s="206" t="s">
        <v>345</v>
      </c>
      <c r="BD68" s="206"/>
      <c r="BE68" s="206"/>
      <c r="BF68" s="206"/>
      <c r="BG68" s="500" t="s">
        <v>309</v>
      </c>
      <c r="BH68" s="500"/>
      <c r="BI68" s="206" t="s">
        <v>372</v>
      </c>
      <c r="BJ68" s="206"/>
      <c r="BK68" s="206"/>
      <c r="BL68" s="206"/>
      <c r="BM68" s="206" t="s">
        <v>353</v>
      </c>
      <c r="BN68" s="206"/>
      <c r="BO68" s="206"/>
      <c r="BP68" s="206"/>
      <c r="BQ68" s="501" t="s">
        <v>346</v>
      </c>
      <c r="BR68" s="501"/>
      <c r="BS68" s="501"/>
      <c r="BT68" s="501"/>
    </row>
    <row r="69" spans="2:72" ht="17" customHeight="1">
      <c r="B69" s="39">
        <f t="shared" ref="B69:B72" si="3">B68+1</f>
        <v>20</v>
      </c>
      <c r="C69" s="456">
        <v>120</v>
      </c>
      <c r="D69" s="457"/>
      <c r="E69" s="464"/>
      <c r="F69" s="472" t="s">
        <v>375</v>
      </c>
      <c r="G69" s="473"/>
      <c r="H69" s="473"/>
      <c r="I69" s="473"/>
      <c r="J69" s="474"/>
      <c r="K69" s="472" t="s">
        <v>313</v>
      </c>
      <c r="L69" s="473"/>
      <c r="M69" s="473"/>
      <c r="N69" s="473"/>
      <c r="O69" s="474"/>
      <c r="P69" s="472" t="s">
        <v>215</v>
      </c>
      <c r="Q69" s="473"/>
      <c r="R69" s="473"/>
      <c r="S69" s="473"/>
      <c r="T69" s="474"/>
      <c r="U69" s="472" t="s">
        <v>186</v>
      </c>
      <c r="V69" s="473"/>
      <c r="W69" s="473"/>
      <c r="X69" s="473"/>
      <c r="Y69" s="474"/>
      <c r="Z69" s="472" t="s">
        <v>193</v>
      </c>
      <c r="AA69" s="473"/>
      <c r="AB69" s="473"/>
      <c r="AC69" s="473"/>
      <c r="AD69" s="474"/>
      <c r="AE69" s="317" t="s">
        <v>373</v>
      </c>
      <c r="AF69" s="206"/>
      <c r="AG69" s="206"/>
      <c r="AH69" s="206"/>
      <c r="AI69" s="206"/>
      <c r="AJ69" s="206"/>
      <c r="AK69" s="490" t="s">
        <v>317</v>
      </c>
      <c r="AL69" s="491"/>
      <c r="AM69" s="492"/>
      <c r="AN69" s="456" t="s">
        <v>313</v>
      </c>
      <c r="AO69" s="457"/>
      <c r="AP69" s="464"/>
      <c r="AQ69" s="456" t="s">
        <v>313</v>
      </c>
      <c r="AR69" s="457"/>
      <c r="AS69" s="464"/>
      <c r="AT69" s="456" t="s">
        <v>266</v>
      </c>
      <c r="AU69" s="457"/>
      <c r="AV69" s="457"/>
      <c r="AW69" s="540"/>
      <c r="AX69" s="540"/>
      <c r="AY69" s="540"/>
      <c r="AZ69" s="207">
        <v>18</v>
      </c>
      <c r="BA69" s="208"/>
      <c r="BB69" s="209"/>
      <c r="BC69" s="206" t="s">
        <v>345</v>
      </c>
      <c r="BD69" s="206"/>
      <c r="BE69" s="206"/>
      <c r="BF69" s="206"/>
      <c r="BG69" s="500" t="s">
        <v>309</v>
      </c>
      <c r="BH69" s="500"/>
      <c r="BI69" s="206" t="s">
        <v>374</v>
      </c>
      <c r="BJ69" s="206"/>
      <c r="BK69" s="206"/>
      <c r="BL69" s="206"/>
      <c r="BM69" s="206" t="s">
        <v>353</v>
      </c>
      <c r="BN69" s="206"/>
      <c r="BO69" s="206"/>
      <c r="BP69" s="206"/>
      <c r="BQ69" s="501" t="s">
        <v>346</v>
      </c>
      <c r="BR69" s="501"/>
      <c r="BS69" s="501"/>
      <c r="BT69" s="501"/>
    </row>
    <row r="70" spans="2:72" ht="17" customHeight="1">
      <c r="B70" s="39">
        <f t="shared" si="3"/>
        <v>21</v>
      </c>
      <c r="C70" s="456">
        <v>121</v>
      </c>
      <c r="D70" s="457"/>
      <c r="E70" s="464"/>
      <c r="F70" s="472" t="s">
        <v>376</v>
      </c>
      <c r="G70" s="473"/>
      <c r="H70" s="473"/>
      <c r="I70" s="473"/>
      <c r="J70" s="474"/>
      <c r="K70" s="472" t="s">
        <v>313</v>
      </c>
      <c r="L70" s="473"/>
      <c r="M70" s="473"/>
      <c r="N70" s="473"/>
      <c r="O70" s="474"/>
      <c r="P70" s="472" t="s">
        <v>215</v>
      </c>
      <c r="Q70" s="473"/>
      <c r="R70" s="473"/>
      <c r="S70" s="473"/>
      <c r="T70" s="474"/>
      <c r="U70" s="472" t="s">
        <v>186</v>
      </c>
      <c r="V70" s="473"/>
      <c r="W70" s="473"/>
      <c r="X70" s="473"/>
      <c r="Y70" s="474"/>
      <c r="Z70" s="472" t="s">
        <v>193</v>
      </c>
      <c r="AA70" s="473"/>
      <c r="AB70" s="473"/>
      <c r="AC70" s="473"/>
      <c r="AD70" s="474"/>
      <c r="AE70" s="317" t="s">
        <v>380</v>
      </c>
      <c r="AF70" s="206"/>
      <c r="AG70" s="206"/>
      <c r="AH70" s="206"/>
      <c r="AI70" s="206"/>
      <c r="AJ70" s="206"/>
      <c r="AK70" s="456" t="s">
        <v>114</v>
      </c>
      <c r="AL70" s="457"/>
      <c r="AM70" s="464"/>
      <c r="AN70" s="490">
        <v>2</v>
      </c>
      <c r="AO70" s="491"/>
      <c r="AP70" s="492"/>
      <c r="AQ70" s="456" t="s">
        <v>313</v>
      </c>
      <c r="AR70" s="457"/>
      <c r="AS70" s="464"/>
      <c r="AT70" s="456" t="s">
        <v>266</v>
      </c>
      <c r="AU70" s="457"/>
      <c r="AV70" s="457"/>
      <c r="AW70" s="540"/>
      <c r="AX70" s="540"/>
      <c r="AY70" s="540"/>
      <c r="AZ70" s="207">
        <v>19</v>
      </c>
      <c r="BA70" s="208"/>
      <c r="BB70" s="209"/>
      <c r="BC70" s="206" t="s">
        <v>345</v>
      </c>
      <c r="BD70" s="206"/>
      <c r="BE70" s="206"/>
      <c r="BF70" s="206"/>
      <c r="BG70" s="500" t="s">
        <v>309</v>
      </c>
      <c r="BH70" s="500"/>
      <c r="BI70" s="206" t="s">
        <v>381</v>
      </c>
      <c r="BJ70" s="206"/>
      <c r="BK70" s="206"/>
      <c r="BL70" s="206"/>
      <c r="BM70" s="206" t="s">
        <v>353</v>
      </c>
      <c r="BN70" s="206"/>
      <c r="BO70" s="206"/>
      <c r="BP70" s="206"/>
      <c r="BQ70" s="501" t="s">
        <v>346</v>
      </c>
      <c r="BR70" s="501"/>
      <c r="BS70" s="501"/>
      <c r="BT70" s="501"/>
    </row>
    <row r="71" spans="2:72" ht="17" customHeight="1">
      <c r="B71" s="39">
        <f t="shared" si="3"/>
        <v>22</v>
      </c>
      <c r="C71" s="456">
        <v>122</v>
      </c>
      <c r="D71" s="457"/>
      <c r="E71" s="464"/>
      <c r="F71" s="472" t="s">
        <v>377</v>
      </c>
      <c r="G71" s="473"/>
      <c r="H71" s="473"/>
      <c r="I71" s="473"/>
      <c r="J71" s="474"/>
      <c r="K71" s="472" t="s">
        <v>313</v>
      </c>
      <c r="L71" s="473"/>
      <c r="M71" s="473"/>
      <c r="N71" s="473"/>
      <c r="O71" s="474"/>
      <c r="P71" s="472" t="s">
        <v>215</v>
      </c>
      <c r="Q71" s="473"/>
      <c r="R71" s="473"/>
      <c r="S71" s="473"/>
      <c r="T71" s="474"/>
      <c r="U71" s="472" t="s">
        <v>186</v>
      </c>
      <c r="V71" s="473"/>
      <c r="W71" s="473"/>
      <c r="X71" s="473"/>
      <c r="Y71" s="474"/>
      <c r="Z71" s="472" t="s">
        <v>193</v>
      </c>
      <c r="AA71" s="473"/>
      <c r="AB71" s="473"/>
      <c r="AC71" s="473"/>
      <c r="AD71" s="474"/>
      <c r="AE71" s="317" t="s">
        <v>383</v>
      </c>
      <c r="AF71" s="206"/>
      <c r="AG71" s="206"/>
      <c r="AH71" s="206"/>
      <c r="AI71" s="206"/>
      <c r="AJ71" s="206"/>
      <c r="AK71" s="456" t="s">
        <v>114</v>
      </c>
      <c r="AL71" s="457"/>
      <c r="AM71" s="464"/>
      <c r="AN71" s="456" t="s">
        <v>313</v>
      </c>
      <c r="AO71" s="457"/>
      <c r="AP71" s="464"/>
      <c r="AQ71" s="490">
        <v>2</v>
      </c>
      <c r="AR71" s="491"/>
      <c r="AS71" s="492"/>
      <c r="AT71" s="456" t="s">
        <v>266</v>
      </c>
      <c r="AU71" s="457"/>
      <c r="AV71" s="457"/>
      <c r="AW71" s="540"/>
      <c r="AX71" s="540"/>
      <c r="AY71" s="540"/>
      <c r="AZ71" s="207">
        <v>20</v>
      </c>
      <c r="BA71" s="208"/>
      <c r="BB71" s="209"/>
      <c r="BC71" s="206" t="s">
        <v>345</v>
      </c>
      <c r="BD71" s="206"/>
      <c r="BE71" s="206"/>
      <c r="BF71" s="206"/>
      <c r="BG71" s="500" t="s">
        <v>309</v>
      </c>
      <c r="BH71" s="500"/>
      <c r="BI71" s="206" t="s">
        <v>382</v>
      </c>
      <c r="BJ71" s="206"/>
      <c r="BK71" s="206"/>
      <c r="BL71" s="206"/>
      <c r="BM71" s="206" t="s">
        <v>353</v>
      </c>
      <c r="BN71" s="206"/>
      <c r="BO71" s="206"/>
      <c r="BP71" s="206"/>
      <c r="BQ71" s="501" t="s">
        <v>346</v>
      </c>
      <c r="BR71" s="501"/>
      <c r="BS71" s="501"/>
      <c r="BT71" s="501"/>
    </row>
    <row r="72" spans="2:72" ht="17" customHeight="1">
      <c r="B72" s="239">
        <f t="shared" si="3"/>
        <v>23</v>
      </c>
      <c r="C72" s="354">
        <v>201</v>
      </c>
      <c r="D72" s="355"/>
      <c r="E72" s="356"/>
      <c r="F72" s="357" t="s">
        <v>385</v>
      </c>
      <c r="G72" s="358"/>
      <c r="H72" s="358"/>
      <c r="I72" s="358"/>
      <c r="J72" s="359"/>
      <c r="K72" s="357" t="s">
        <v>313</v>
      </c>
      <c r="L72" s="358"/>
      <c r="M72" s="358"/>
      <c r="N72" s="358"/>
      <c r="O72" s="359"/>
      <c r="P72" s="357" t="s">
        <v>215</v>
      </c>
      <c r="Q72" s="358"/>
      <c r="R72" s="358"/>
      <c r="S72" s="358"/>
      <c r="T72" s="359"/>
      <c r="U72" s="357" t="s">
        <v>186</v>
      </c>
      <c r="V72" s="358"/>
      <c r="W72" s="358"/>
      <c r="X72" s="358"/>
      <c r="Y72" s="359"/>
      <c r="Z72" s="357" t="s">
        <v>193</v>
      </c>
      <c r="AA72" s="358"/>
      <c r="AB72" s="358"/>
      <c r="AC72" s="358"/>
      <c r="AD72" s="359"/>
      <c r="AE72" s="369" t="s">
        <v>387</v>
      </c>
      <c r="AF72" s="370"/>
      <c r="AG72" s="370"/>
      <c r="AH72" s="370"/>
      <c r="AI72" s="370"/>
      <c r="AJ72" s="370"/>
      <c r="AK72" s="354" t="s">
        <v>114</v>
      </c>
      <c r="AL72" s="355"/>
      <c r="AM72" s="356"/>
      <c r="AN72" s="354" t="s">
        <v>313</v>
      </c>
      <c r="AO72" s="355"/>
      <c r="AP72" s="356"/>
      <c r="AQ72" s="354" t="s">
        <v>313</v>
      </c>
      <c r="AR72" s="355"/>
      <c r="AS72" s="356"/>
      <c r="AT72" s="354" t="s">
        <v>266</v>
      </c>
      <c r="AU72" s="355"/>
      <c r="AV72" s="355"/>
      <c r="AW72" s="540"/>
      <c r="AX72" s="540"/>
      <c r="AY72" s="540"/>
      <c r="AZ72" s="224">
        <v>2</v>
      </c>
      <c r="BA72" s="225"/>
      <c r="BB72" s="226"/>
      <c r="BC72" s="224" t="s">
        <v>389</v>
      </c>
      <c r="BD72" s="225"/>
      <c r="BE72" s="225"/>
      <c r="BF72" s="226"/>
      <c r="BG72" s="224" t="s">
        <v>390</v>
      </c>
      <c r="BH72" s="226"/>
      <c r="BI72" s="224" t="s">
        <v>390</v>
      </c>
      <c r="BJ72" s="225"/>
      <c r="BK72" s="225"/>
      <c r="BL72" s="226"/>
      <c r="BM72" s="224" t="s">
        <v>352</v>
      </c>
      <c r="BN72" s="225"/>
      <c r="BO72" s="225"/>
      <c r="BP72" s="226"/>
      <c r="BQ72" s="506" t="s">
        <v>346</v>
      </c>
      <c r="BR72" s="507"/>
      <c r="BS72" s="507"/>
      <c r="BT72" s="508"/>
    </row>
    <row r="73" spans="2:72" ht="17" customHeight="1">
      <c r="B73" s="227"/>
      <c r="C73" s="523" t="s">
        <v>384</v>
      </c>
      <c r="D73" s="524"/>
      <c r="E73" s="524"/>
      <c r="F73" s="524"/>
      <c r="G73" s="524"/>
      <c r="H73" s="524"/>
      <c r="I73" s="524"/>
      <c r="J73" s="524"/>
      <c r="K73" s="524"/>
      <c r="L73" s="524"/>
      <c r="M73" s="524"/>
      <c r="N73" s="524"/>
      <c r="O73" s="524"/>
      <c r="P73" s="524"/>
      <c r="Q73" s="524"/>
      <c r="R73" s="524"/>
      <c r="S73" s="524"/>
      <c r="T73" s="524"/>
      <c r="U73" s="524"/>
      <c r="V73" s="524"/>
      <c r="W73" s="524"/>
      <c r="X73" s="524"/>
      <c r="Y73" s="524"/>
      <c r="Z73" s="524"/>
      <c r="AA73" s="524"/>
      <c r="AB73" s="524"/>
      <c r="AC73" s="524"/>
      <c r="AD73" s="524"/>
      <c r="AE73" s="524"/>
      <c r="AF73" s="524"/>
      <c r="AG73" s="524"/>
      <c r="AH73" s="524"/>
      <c r="AI73" s="524"/>
      <c r="AJ73" s="524"/>
      <c r="AK73" s="524"/>
      <c r="AL73" s="524"/>
      <c r="AM73" s="524"/>
      <c r="AN73" s="524"/>
      <c r="AO73" s="524"/>
      <c r="AP73" s="524"/>
      <c r="AQ73" s="524"/>
      <c r="AR73" s="524"/>
      <c r="AS73" s="524"/>
      <c r="AT73" s="524"/>
      <c r="AU73" s="524"/>
      <c r="AV73" s="524"/>
      <c r="AW73" s="540"/>
      <c r="AX73" s="540"/>
      <c r="AY73" s="540"/>
      <c r="AZ73" s="228"/>
      <c r="BA73" s="153"/>
      <c r="BB73" s="229"/>
      <c r="BC73" s="228"/>
      <c r="BD73" s="153"/>
      <c r="BE73" s="153"/>
      <c r="BF73" s="229"/>
      <c r="BG73" s="228"/>
      <c r="BH73" s="229"/>
      <c r="BI73" s="228"/>
      <c r="BJ73" s="153"/>
      <c r="BK73" s="153"/>
      <c r="BL73" s="229"/>
      <c r="BM73" s="228"/>
      <c r="BN73" s="153"/>
      <c r="BO73" s="153"/>
      <c r="BP73" s="229"/>
      <c r="BQ73" s="525"/>
      <c r="BR73" s="526"/>
      <c r="BS73" s="526"/>
      <c r="BT73" s="527"/>
    </row>
    <row r="74" spans="2:72" ht="17" customHeight="1">
      <c r="B74" s="240"/>
      <c r="C74" s="405">
        <v>207</v>
      </c>
      <c r="D74" s="406"/>
      <c r="E74" s="407"/>
      <c r="F74" s="402" t="s">
        <v>386</v>
      </c>
      <c r="G74" s="403"/>
      <c r="H74" s="403"/>
      <c r="I74" s="403"/>
      <c r="J74" s="404"/>
      <c r="K74" s="402" t="s">
        <v>313</v>
      </c>
      <c r="L74" s="403"/>
      <c r="M74" s="403"/>
      <c r="N74" s="403"/>
      <c r="O74" s="404"/>
      <c r="P74" s="402" t="s">
        <v>215</v>
      </c>
      <c r="Q74" s="403"/>
      <c r="R74" s="403"/>
      <c r="S74" s="403"/>
      <c r="T74" s="404"/>
      <c r="U74" s="402" t="s">
        <v>186</v>
      </c>
      <c r="V74" s="403"/>
      <c r="W74" s="403"/>
      <c r="X74" s="403"/>
      <c r="Y74" s="404"/>
      <c r="Z74" s="402" t="s">
        <v>193</v>
      </c>
      <c r="AA74" s="403"/>
      <c r="AB74" s="403"/>
      <c r="AC74" s="403"/>
      <c r="AD74" s="404"/>
      <c r="AE74" s="515" t="s">
        <v>388</v>
      </c>
      <c r="AF74" s="240"/>
      <c r="AG74" s="240"/>
      <c r="AH74" s="240"/>
      <c r="AI74" s="240"/>
      <c r="AJ74" s="240"/>
      <c r="AK74" s="405" t="s">
        <v>114</v>
      </c>
      <c r="AL74" s="406"/>
      <c r="AM74" s="407"/>
      <c r="AN74" s="405" t="s">
        <v>313</v>
      </c>
      <c r="AO74" s="406"/>
      <c r="AP74" s="407"/>
      <c r="AQ74" s="405" t="s">
        <v>313</v>
      </c>
      <c r="AR74" s="406"/>
      <c r="AS74" s="407"/>
      <c r="AT74" s="405" t="s">
        <v>266</v>
      </c>
      <c r="AU74" s="406"/>
      <c r="AV74" s="406"/>
      <c r="AW74" s="540"/>
      <c r="AX74" s="540"/>
      <c r="AY74" s="540"/>
      <c r="AZ74" s="241"/>
      <c r="BA74" s="242"/>
      <c r="BB74" s="243"/>
      <c r="BC74" s="241"/>
      <c r="BD74" s="242"/>
      <c r="BE74" s="242"/>
      <c r="BF74" s="243"/>
      <c r="BG74" s="241"/>
      <c r="BH74" s="243"/>
      <c r="BI74" s="241"/>
      <c r="BJ74" s="242"/>
      <c r="BK74" s="242"/>
      <c r="BL74" s="243"/>
      <c r="BM74" s="241"/>
      <c r="BN74" s="242"/>
      <c r="BO74" s="242"/>
      <c r="BP74" s="243"/>
      <c r="BQ74" s="509"/>
      <c r="BR74" s="510"/>
      <c r="BS74" s="510"/>
      <c r="BT74" s="511"/>
    </row>
    <row r="75" spans="2:72" ht="17" customHeight="1">
      <c r="B75" s="239">
        <f>B72+1</f>
        <v>24</v>
      </c>
      <c r="C75" s="354">
        <v>124</v>
      </c>
      <c r="D75" s="355"/>
      <c r="E75" s="356"/>
      <c r="F75" s="357" t="s">
        <v>391</v>
      </c>
      <c r="G75" s="358"/>
      <c r="H75" s="358"/>
      <c r="I75" s="358"/>
      <c r="J75" s="359"/>
      <c r="K75" s="357" t="s">
        <v>313</v>
      </c>
      <c r="L75" s="358"/>
      <c r="M75" s="358"/>
      <c r="N75" s="358"/>
      <c r="O75" s="359"/>
      <c r="P75" s="357" t="s">
        <v>215</v>
      </c>
      <c r="Q75" s="358"/>
      <c r="R75" s="358"/>
      <c r="S75" s="358"/>
      <c r="T75" s="359"/>
      <c r="U75" s="357" t="s">
        <v>186</v>
      </c>
      <c r="V75" s="358"/>
      <c r="W75" s="358"/>
      <c r="X75" s="358"/>
      <c r="Y75" s="359"/>
      <c r="Z75" s="357" t="s">
        <v>193</v>
      </c>
      <c r="AA75" s="358"/>
      <c r="AB75" s="358"/>
      <c r="AC75" s="358"/>
      <c r="AD75" s="359"/>
      <c r="AE75" s="369" t="s">
        <v>392</v>
      </c>
      <c r="AF75" s="370"/>
      <c r="AG75" s="370"/>
      <c r="AH75" s="370"/>
      <c r="AI75" s="370"/>
      <c r="AJ75" s="370"/>
      <c r="AK75" s="354" t="s">
        <v>114</v>
      </c>
      <c r="AL75" s="355"/>
      <c r="AM75" s="356"/>
      <c r="AN75" s="354" t="s">
        <v>313</v>
      </c>
      <c r="AO75" s="355"/>
      <c r="AP75" s="356"/>
      <c r="AQ75" s="354" t="s">
        <v>313</v>
      </c>
      <c r="AR75" s="355"/>
      <c r="AS75" s="356"/>
      <c r="AT75" s="354" t="s">
        <v>266</v>
      </c>
      <c r="AU75" s="355"/>
      <c r="AV75" s="355"/>
      <c r="AW75" s="540"/>
      <c r="AX75" s="540"/>
      <c r="AY75" s="540"/>
      <c r="AZ75" s="408" t="s">
        <v>1095</v>
      </c>
      <c r="BA75" s="409"/>
      <c r="BB75" s="410"/>
      <c r="BC75" s="370" t="s">
        <v>267</v>
      </c>
      <c r="BD75" s="370"/>
      <c r="BE75" s="370"/>
      <c r="BF75" s="370"/>
      <c r="BG75" s="370" t="s">
        <v>393</v>
      </c>
      <c r="BH75" s="370"/>
      <c r="BI75" s="370" t="s">
        <v>352</v>
      </c>
      <c r="BJ75" s="370"/>
      <c r="BK75" s="370"/>
      <c r="BL75" s="370"/>
      <c r="BM75" s="370" t="s">
        <v>352</v>
      </c>
      <c r="BN75" s="370"/>
      <c r="BO75" s="370"/>
      <c r="BP75" s="370"/>
      <c r="BQ75" s="506" t="s">
        <v>346</v>
      </c>
      <c r="BR75" s="507"/>
      <c r="BS75" s="507"/>
      <c r="BT75" s="508"/>
    </row>
    <row r="76" spans="2:72" ht="17" customHeight="1">
      <c r="B76" s="227"/>
      <c r="C76" s="330">
        <v>125</v>
      </c>
      <c r="D76" s="331"/>
      <c r="E76" s="332"/>
      <c r="F76" s="371" t="s">
        <v>378</v>
      </c>
      <c r="G76" s="372"/>
      <c r="H76" s="372"/>
      <c r="I76" s="372"/>
      <c r="J76" s="373"/>
      <c r="K76" s="371" t="s">
        <v>313</v>
      </c>
      <c r="L76" s="372"/>
      <c r="M76" s="372"/>
      <c r="N76" s="372"/>
      <c r="O76" s="373"/>
      <c r="P76" s="496" t="s">
        <v>317</v>
      </c>
      <c r="Q76" s="497"/>
      <c r="R76" s="497"/>
      <c r="S76" s="497"/>
      <c r="T76" s="498"/>
      <c r="U76" s="371" t="s">
        <v>186</v>
      </c>
      <c r="V76" s="372"/>
      <c r="W76" s="372"/>
      <c r="X76" s="372"/>
      <c r="Y76" s="373"/>
      <c r="Z76" s="371" t="s">
        <v>193</v>
      </c>
      <c r="AA76" s="372"/>
      <c r="AB76" s="372"/>
      <c r="AC76" s="372"/>
      <c r="AD76" s="373"/>
      <c r="AE76" s="328" t="s">
        <v>394</v>
      </c>
      <c r="AF76" s="329"/>
      <c r="AG76" s="329"/>
      <c r="AH76" s="329"/>
      <c r="AI76" s="329"/>
      <c r="AJ76" s="329"/>
      <c r="AK76" s="330" t="s">
        <v>114</v>
      </c>
      <c r="AL76" s="331"/>
      <c r="AM76" s="332"/>
      <c r="AN76" s="330" t="s">
        <v>313</v>
      </c>
      <c r="AO76" s="331"/>
      <c r="AP76" s="332"/>
      <c r="AQ76" s="330" t="s">
        <v>313</v>
      </c>
      <c r="AR76" s="331"/>
      <c r="AS76" s="332"/>
      <c r="AT76" s="330" t="s">
        <v>266</v>
      </c>
      <c r="AU76" s="331"/>
      <c r="AV76" s="331"/>
      <c r="AW76" s="540"/>
      <c r="AX76" s="540"/>
      <c r="AY76" s="540"/>
      <c r="AZ76" s="387">
        <v>10</v>
      </c>
      <c r="BA76" s="388"/>
      <c r="BB76" s="389"/>
      <c r="BC76" s="329" t="s">
        <v>395</v>
      </c>
      <c r="BD76" s="329"/>
      <c r="BE76" s="329"/>
      <c r="BF76" s="329"/>
      <c r="BG76" s="536" t="s">
        <v>309</v>
      </c>
      <c r="BH76" s="536"/>
      <c r="BI76" s="329" t="s">
        <v>51</v>
      </c>
      <c r="BJ76" s="329"/>
      <c r="BK76" s="329"/>
      <c r="BL76" s="329"/>
      <c r="BM76" s="329" t="s">
        <v>352</v>
      </c>
      <c r="BN76" s="329"/>
      <c r="BO76" s="329"/>
      <c r="BP76" s="329"/>
      <c r="BQ76" s="525"/>
      <c r="BR76" s="526"/>
      <c r="BS76" s="526"/>
      <c r="BT76" s="527"/>
    </row>
    <row r="77" spans="2:72" ht="17" customHeight="1">
      <c r="B77" s="240"/>
      <c r="C77" s="405">
        <v>126</v>
      </c>
      <c r="D77" s="406"/>
      <c r="E77" s="407"/>
      <c r="F77" s="402" t="s">
        <v>379</v>
      </c>
      <c r="G77" s="403"/>
      <c r="H77" s="403"/>
      <c r="I77" s="403"/>
      <c r="J77" s="404"/>
      <c r="K77" s="402" t="s">
        <v>313</v>
      </c>
      <c r="L77" s="403"/>
      <c r="M77" s="403"/>
      <c r="N77" s="403"/>
      <c r="O77" s="404"/>
      <c r="P77" s="537" t="s">
        <v>335</v>
      </c>
      <c r="Q77" s="538"/>
      <c r="R77" s="538"/>
      <c r="S77" s="538"/>
      <c r="T77" s="539"/>
      <c r="U77" s="402" t="s">
        <v>186</v>
      </c>
      <c r="V77" s="403"/>
      <c r="W77" s="403"/>
      <c r="X77" s="403"/>
      <c r="Y77" s="404"/>
      <c r="Z77" s="402" t="s">
        <v>193</v>
      </c>
      <c r="AA77" s="403"/>
      <c r="AB77" s="403"/>
      <c r="AC77" s="403"/>
      <c r="AD77" s="404"/>
      <c r="AE77" s="515" t="s">
        <v>396</v>
      </c>
      <c r="AF77" s="240"/>
      <c r="AG77" s="240"/>
      <c r="AH77" s="240"/>
      <c r="AI77" s="240"/>
      <c r="AJ77" s="240"/>
      <c r="AK77" s="405" t="s">
        <v>114</v>
      </c>
      <c r="AL77" s="406"/>
      <c r="AM77" s="407"/>
      <c r="AN77" s="405" t="s">
        <v>313</v>
      </c>
      <c r="AO77" s="406"/>
      <c r="AP77" s="407"/>
      <c r="AQ77" s="405" t="s">
        <v>313</v>
      </c>
      <c r="AR77" s="406"/>
      <c r="AS77" s="407"/>
      <c r="AT77" s="405" t="s">
        <v>266</v>
      </c>
      <c r="AU77" s="406"/>
      <c r="AV77" s="406"/>
      <c r="AW77" s="540"/>
      <c r="AX77" s="540"/>
      <c r="AY77" s="540"/>
      <c r="AZ77" s="241">
        <v>11</v>
      </c>
      <c r="BA77" s="242"/>
      <c r="BB77" s="243"/>
      <c r="BC77" s="240" t="s">
        <v>306</v>
      </c>
      <c r="BD77" s="240"/>
      <c r="BE77" s="240"/>
      <c r="BF77" s="240"/>
      <c r="BG77" s="521" t="s">
        <v>307</v>
      </c>
      <c r="BH77" s="521"/>
      <c r="BI77" s="240" t="s">
        <v>352</v>
      </c>
      <c r="BJ77" s="240"/>
      <c r="BK77" s="240"/>
      <c r="BL77" s="240"/>
      <c r="BM77" s="240" t="s">
        <v>51</v>
      </c>
      <c r="BN77" s="240"/>
      <c r="BO77" s="240"/>
      <c r="BP77" s="240"/>
      <c r="BQ77" s="509"/>
      <c r="BR77" s="510"/>
      <c r="BS77" s="510"/>
      <c r="BT77" s="511"/>
    </row>
    <row r="78" spans="2:72" ht="28" customHeight="1">
      <c r="B78" s="39">
        <f>B75+1</f>
        <v>25</v>
      </c>
      <c r="C78" s="456" t="s">
        <v>891</v>
      </c>
      <c r="D78" s="457"/>
      <c r="E78" s="464"/>
      <c r="F78" s="472" t="s">
        <v>1088</v>
      </c>
      <c r="G78" s="473"/>
      <c r="H78" s="473"/>
      <c r="I78" s="473"/>
      <c r="J78" s="474"/>
      <c r="K78" s="456" t="s">
        <v>1089</v>
      </c>
      <c r="L78" s="473"/>
      <c r="M78" s="473"/>
      <c r="N78" s="473"/>
      <c r="O78" s="474"/>
      <c r="P78" s="472" t="s">
        <v>215</v>
      </c>
      <c r="Q78" s="473"/>
      <c r="R78" s="473"/>
      <c r="S78" s="473"/>
      <c r="T78" s="474"/>
      <c r="U78" s="472" t="s">
        <v>186</v>
      </c>
      <c r="V78" s="473"/>
      <c r="W78" s="473"/>
      <c r="X78" s="473"/>
      <c r="Y78" s="474"/>
      <c r="Z78" s="472" t="s">
        <v>193</v>
      </c>
      <c r="AA78" s="473"/>
      <c r="AB78" s="473"/>
      <c r="AC78" s="473"/>
      <c r="AD78" s="474"/>
      <c r="AE78" s="317" t="s">
        <v>399</v>
      </c>
      <c r="AF78" s="206"/>
      <c r="AG78" s="206"/>
      <c r="AH78" s="206"/>
      <c r="AI78" s="206"/>
      <c r="AJ78" s="206"/>
      <c r="AK78" s="456" t="s">
        <v>114</v>
      </c>
      <c r="AL78" s="457"/>
      <c r="AM78" s="464"/>
      <c r="AN78" s="456" t="s">
        <v>313</v>
      </c>
      <c r="AO78" s="457"/>
      <c r="AP78" s="464"/>
      <c r="AQ78" s="405" t="s">
        <v>114</v>
      </c>
      <c r="AR78" s="406"/>
      <c r="AS78" s="407"/>
      <c r="AT78" s="456" t="s">
        <v>266</v>
      </c>
      <c r="AU78" s="457"/>
      <c r="AV78" s="457"/>
      <c r="AW78" s="540"/>
      <c r="AX78" s="540"/>
      <c r="AY78" s="540"/>
      <c r="AZ78" s="207">
        <v>1</v>
      </c>
      <c r="BA78" s="208"/>
      <c r="BB78" s="209"/>
      <c r="BC78" s="206" t="s">
        <v>267</v>
      </c>
      <c r="BD78" s="206"/>
      <c r="BE78" s="206"/>
      <c r="BF78" s="206"/>
      <c r="BG78" s="206" t="s">
        <v>268</v>
      </c>
      <c r="BH78" s="206"/>
      <c r="BI78" s="206" t="s">
        <v>266</v>
      </c>
      <c r="BJ78" s="206"/>
      <c r="BK78" s="206"/>
      <c r="BL78" s="206"/>
      <c r="BM78" s="206" t="s">
        <v>266</v>
      </c>
      <c r="BN78" s="206"/>
      <c r="BO78" s="206"/>
      <c r="BP78" s="206"/>
      <c r="BQ78" s="475" t="s">
        <v>270</v>
      </c>
      <c r="BR78" s="475"/>
      <c r="BS78" s="475"/>
      <c r="BT78" s="475"/>
    </row>
    <row r="79" spans="2:72" ht="17" customHeight="1">
      <c r="B79" s="39">
        <f t="shared" ref="B79" si="4">B78+1</f>
        <v>26</v>
      </c>
      <c r="C79" s="456">
        <v>128</v>
      </c>
      <c r="D79" s="457"/>
      <c r="E79" s="464"/>
      <c r="F79" s="472" t="s">
        <v>892</v>
      </c>
      <c r="G79" s="473"/>
      <c r="H79" s="473"/>
      <c r="I79" s="473"/>
      <c r="J79" s="474"/>
      <c r="K79" s="472" t="s">
        <v>313</v>
      </c>
      <c r="L79" s="473"/>
      <c r="M79" s="473"/>
      <c r="N79" s="473"/>
      <c r="O79" s="474"/>
      <c r="P79" s="472" t="s">
        <v>215</v>
      </c>
      <c r="Q79" s="473"/>
      <c r="R79" s="473"/>
      <c r="S79" s="473"/>
      <c r="T79" s="474"/>
      <c r="U79" s="472" t="s">
        <v>186</v>
      </c>
      <c r="V79" s="473"/>
      <c r="W79" s="473"/>
      <c r="X79" s="473"/>
      <c r="Y79" s="474"/>
      <c r="Z79" s="472" t="s">
        <v>193</v>
      </c>
      <c r="AA79" s="473"/>
      <c r="AB79" s="473"/>
      <c r="AC79" s="473"/>
      <c r="AD79" s="474"/>
      <c r="AE79" s="317" t="s">
        <v>400</v>
      </c>
      <c r="AF79" s="206"/>
      <c r="AG79" s="206"/>
      <c r="AH79" s="206"/>
      <c r="AI79" s="206"/>
      <c r="AJ79" s="206"/>
      <c r="AK79" s="456" t="s">
        <v>114</v>
      </c>
      <c r="AL79" s="457"/>
      <c r="AM79" s="464"/>
      <c r="AN79" s="456" t="s">
        <v>313</v>
      </c>
      <c r="AO79" s="457"/>
      <c r="AP79" s="464"/>
      <c r="AQ79" s="405" t="s">
        <v>114</v>
      </c>
      <c r="AR79" s="406"/>
      <c r="AS79" s="407"/>
      <c r="AT79" s="456" t="s">
        <v>266</v>
      </c>
      <c r="AU79" s="457"/>
      <c r="AV79" s="457"/>
      <c r="AW79" s="540"/>
      <c r="AX79" s="540"/>
      <c r="AY79" s="540"/>
      <c r="AZ79" s="207">
        <v>1</v>
      </c>
      <c r="BA79" s="208"/>
      <c r="BB79" s="209"/>
      <c r="BC79" s="206" t="s">
        <v>267</v>
      </c>
      <c r="BD79" s="206"/>
      <c r="BE79" s="206"/>
      <c r="BF79" s="206"/>
      <c r="BG79" s="206" t="s">
        <v>268</v>
      </c>
      <c r="BH79" s="206"/>
      <c r="BI79" s="206" t="s">
        <v>266</v>
      </c>
      <c r="BJ79" s="206"/>
      <c r="BK79" s="206"/>
      <c r="BL79" s="206"/>
      <c r="BM79" s="206" t="s">
        <v>266</v>
      </c>
      <c r="BN79" s="206"/>
      <c r="BO79" s="206"/>
      <c r="BP79" s="206"/>
      <c r="BQ79" s="475" t="s">
        <v>270</v>
      </c>
      <c r="BR79" s="475"/>
      <c r="BS79" s="475"/>
      <c r="BT79" s="475"/>
    </row>
    <row r="81" spans="3:32" ht="17" customHeight="1">
      <c r="C81" t="s">
        <v>276</v>
      </c>
    </row>
    <row r="82" spans="3:32" ht="17" customHeight="1">
      <c r="C82" s="53" t="s">
        <v>308</v>
      </c>
      <c r="D82" s="454" t="s">
        <v>282</v>
      </c>
      <c r="E82" s="454"/>
      <c r="F82" s="454"/>
      <c r="G82" s="454" t="s">
        <v>281</v>
      </c>
      <c r="H82" s="454"/>
      <c r="I82" s="454"/>
      <c r="J82" s="454"/>
      <c r="K82" s="454"/>
      <c r="L82" s="454"/>
      <c r="M82" s="454"/>
      <c r="N82" s="454"/>
      <c r="O82" s="454"/>
      <c r="P82" s="454"/>
      <c r="Q82" s="454"/>
      <c r="R82" s="454"/>
      <c r="S82" s="454"/>
      <c r="T82" s="454"/>
      <c r="U82" s="454"/>
      <c r="V82" s="454"/>
      <c r="W82" s="454"/>
      <c r="X82" s="454"/>
      <c r="Y82" s="454"/>
      <c r="Z82" s="454"/>
      <c r="AA82" s="454"/>
      <c r="AB82" s="454"/>
      <c r="AC82" s="454"/>
      <c r="AD82" s="454"/>
      <c r="AE82" s="454"/>
      <c r="AF82" s="454"/>
    </row>
    <row r="83" spans="3:32" ht="17" customHeight="1">
      <c r="C83" s="56">
        <v>1</v>
      </c>
      <c r="D83" s="206" t="s">
        <v>311</v>
      </c>
      <c r="E83" s="206"/>
      <c r="F83" s="206"/>
      <c r="G83" s="489" t="s">
        <v>310</v>
      </c>
      <c r="H83" s="489"/>
      <c r="I83" s="489"/>
      <c r="J83" s="489"/>
      <c r="K83" s="489"/>
      <c r="L83" s="489"/>
      <c r="M83" s="489"/>
      <c r="N83" s="489"/>
      <c r="O83" s="489"/>
      <c r="P83" s="489"/>
      <c r="Q83" s="489"/>
      <c r="R83" s="489"/>
      <c r="S83" s="489"/>
      <c r="T83" s="489"/>
      <c r="U83" s="489"/>
      <c r="V83" s="489"/>
      <c r="W83" s="489"/>
      <c r="X83" s="489"/>
      <c r="Y83" s="489"/>
      <c r="Z83" s="489"/>
      <c r="AA83" s="489"/>
      <c r="AB83" s="489"/>
      <c r="AC83" s="489"/>
      <c r="AD83" s="489"/>
      <c r="AE83" s="489"/>
      <c r="AF83" s="489"/>
    </row>
    <row r="84" spans="3:32" ht="33.5" customHeight="1">
      <c r="C84" s="56">
        <f>C83+1</f>
        <v>2</v>
      </c>
      <c r="D84" s="206" t="s">
        <v>280</v>
      </c>
      <c r="E84" s="206"/>
      <c r="F84" s="206"/>
      <c r="G84" s="455" t="s">
        <v>1094</v>
      </c>
      <c r="H84" s="449"/>
      <c r="I84" s="449"/>
      <c r="J84" s="449"/>
      <c r="K84" s="449"/>
      <c r="L84" s="449"/>
      <c r="M84" s="449"/>
      <c r="N84" s="449"/>
      <c r="O84" s="449"/>
      <c r="P84" s="449"/>
      <c r="Q84" s="449"/>
      <c r="R84" s="449"/>
      <c r="S84" s="449"/>
      <c r="T84" s="449"/>
      <c r="U84" s="449"/>
      <c r="V84" s="449"/>
      <c r="W84" s="449"/>
      <c r="X84" s="449"/>
      <c r="Y84" s="449"/>
      <c r="Z84" s="449"/>
      <c r="AA84" s="449"/>
      <c r="AB84" s="449"/>
      <c r="AC84" s="449"/>
      <c r="AD84" s="449"/>
      <c r="AE84" s="449"/>
      <c r="AF84" s="449"/>
    </row>
    <row r="85" spans="3:32" ht="17" customHeight="1">
      <c r="C85" s="56">
        <f>C84+1</f>
        <v>3</v>
      </c>
      <c r="D85" s="206" t="s">
        <v>284</v>
      </c>
      <c r="E85" s="206"/>
      <c r="F85" s="206"/>
      <c r="G85" s="449" t="s">
        <v>283</v>
      </c>
      <c r="H85" s="449"/>
      <c r="I85" s="449"/>
      <c r="J85" s="449"/>
      <c r="K85" s="449"/>
      <c r="L85" s="449"/>
      <c r="M85" s="449"/>
      <c r="N85" s="449"/>
      <c r="O85" s="449"/>
      <c r="P85" s="449"/>
      <c r="Q85" s="449"/>
      <c r="R85" s="449"/>
      <c r="S85" s="449"/>
      <c r="T85" s="449"/>
      <c r="U85" s="449"/>
      <c r="V85" s="449"/>
      <c r="W85" s="449"/>
      <c r="X85" s="449"/>
      <c r="Y85" s="449"/>
      <c r="Z85" s="449"/>
      <c r="AA85" s="449"/>
      <c r="AB85" s="449"/>
      <c r="AC85" s="449"/>
      <c r="AD85" s="449"/>
      <c r="AE85" s="449"/>
      <c r="AF85" s="449"/>
    </row>
    <row r="86" spans="3:32" ht="17" customHeight="1">
      <c r="C86" s="56">
        <f t="shared" ref="C86:C102" si="5">C85+1</f>
        <v>4</v>
      </c>
      <c r="D86" s="206" t="s">
        <v>243</v>
      </c>
      <c r="E86" s="206"/>
      <c r="F86" s="206"/>
      <c r="G86" s="449" t="s">
        <v>277</v>
      </c>
      <c r="H86" s="449"/>
      <c r="I86" s="449"/>
      <c r="J86" s="449"/>
      <c r="K86" s="449"/>
      <c r="L86" s="449"/>
      <c r="M86" s="449"/>
      <c r="N86" s="449"/>
      <c r="O86" s="449"/>
      <c r="P86" s="449"/>
      <c r="Q86" s="449"/>
      <c r="R86" s="449"/>
      <c r="S86" s="449"/>
      <c r="T86" s="449"/>
      <c r="U86" s="449"/>
      <c r="V86" s="449"/>
      <c r="W86" s="449"/>
      <c r="X86" s="449"/>
      <c r="Y86" s="449"/>
      <c r="Z86" s="449"/>
      <c r="AA86" s="449"/>
      <c r="AB86" s="449"/>
      <c r="AC86" s="449"/>
      <c r="AD86" s="449"/>
      <c r="AE86" s="449"/>
      <c r="AF86" s="449"/>
    </row>
    <row r="87" spans="3:32" ht="17" customHeight="1">
      <c r="C87" s="56">
        <f t="shared" si="5"/>
        <v>5</v>
      </c>
      <c r="D87" s="206" t="s">
        <v>243</v>
      </c>
      <c r="E87" s="206"/>
      <c r="F87" s="206"/>
      <c r="G87" s="453" t="s">
        <v>278</v>
      </c>
      <c r="H87" s="453"/>
      <c r="I87" s="453"/>
      <c r="J87" s="453"/>
      <c r="K87" s="453"/>
      <c r="L87" s="453"/>
      <c r="M87" s="453"/>
      <c r="N87" s="453"/>
      <c r="O87" s="453"/>
      <c r="P87" s="453"/>
      <c r="Q87" s="453"/>
      <c r="R87" s="453"/>
      <c r="S87" s="453"/>
      <c r="T87" s="453"/>
      <c r="U87" s="453"/>
      <c r="V87" s="453"/>
      <c r="W87" s="453"/>
      <c r="X87" s="453"/>
      <c r="Y87" s="453"/>
      <c r="Z87" s="453"/>
      <c r="AA87" s="453"/>
      <c r="AB87" s="453"/>
      <c r="AC87" s="453"/>
      <c r="AD87" s="453"/>
      <c r="AE87" s="453"/>
      <c r="AF87" s="453"/>
    </row>
    <row r="88" spans="3:32" ht="17" customHeight="1">
      <c r="C88" s="56">
        <f t="shared" si="5"/>
        <v>6</v>
      </c>
      <c r="D88" s="206" t="s">
        <v>243</v>
      </c>
      <c r="E88" s="206"/>
      <c r="F88" s="206"/>
      <c r="G88" s="449" t="s">
        <v>295</v>
      </c>
      <c r="H88" s="449"/>
      <c r="I88" s="449"/>
      <c r="J88" s="449"/>
      <c r="K88" s="449"/>
      <c r="L88" s="449"/>
      <c r="M88" s="449"/>
      <c r="N88" s="449"/>
      <c r="O88" s="449"/>
      <c r="P88" s="449"/>
      <c r="Q88" s="449"/>
      <c r="R88" s="449"/>
      <c r="S88" s="449"/>
      <c r="T88" s="449"/>
      <c r="U88" s="449"/>
      <c r="V88" s="449"/>
      <c r="W88" s="449"/>
      <c r="X88" s="449"/>
      <c r="Y88" s="449"/>
      <c r="Z88" s="449"/>
      <c r="AA88" s="449"/>
      <c r="AB88" s="449"/>
      <c r="AC88" s="449"/>
      <c r="AD88" s="449"/>
      <c r="AE88" s="449"/>
      <c r="AF88" s="449"/>
    </row>
    <row r="89" spans="3:32" ht="17" customHeight="1">
      <c r="C89" s="56">
        <f t="shared" si="5"/>
        <v>7</v>
      </c>
      <c r="D89" s="206" t="s">
        <v>243</v>
      </c>
      <c r="E89" s="206"/>
      <c r="F89" s="206"/>
      <c r="G89" s="449" t="s">
        <v>279</v>
      </c>
      <c r="H89" s="449"/>
      <c r="I89" s="449"/>
      <c r="J89" s="449"/>
      <c r="K89" s="449"/>
      <c r="L89" s="449"/>
      <c r="M89" s="449"/>
      <c r="N89" s="449"/>
      <c r="O89" s="449"/>
      <c r="P89" s="449"/>
      <c r="Q89" s="449"/>
      <c r="R89" s="449"/>
      <c r="S89" s="449"/>
      <c r="T89" s="449"/>
      <c r="U89" s="449"/>
      <c r="V89" s="449"/>
      <c r="W89" s="449"/>
      <c r="X89" s="449"/>
      <c r="Y89" s="449"/>
      <c r="Z89" s="449"/>
      <c r="AA89" s="449"/>
      <c r="AB89" s="449"/>
      <c r="AC89" s="449"/>
      <c r="AD89" s="449"/>
      <c r="AE89" s="449"/>
      <c r="AF89" s="449"/>
    </row>
    <row r="90" spans="3:32" ht="17" customHeight="1">
      <c r="C90" s="56">
        <f t="shared" si="5"/>
        <v>8</v>
      </c>
      <c r="D90" s="206" t="s">
        <v>243</v>
      </c>
      <c r="E90" s="206"/>
      <c r="F90" s="206"/>
      <c r="G90" s="449" t="s">
        <v>296</v>
      </c>
      <c r="H90" s="449"/>
      <c r="I90" s="449"/>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row>
    <row r="91" spans="3:32" ht="17" customHeight="1">
      <c r="C91" s="56">
        <f t="shared" si="5"/>
        <v>9</v>
      </c>
      <c r="D91" s="206" t="s">
        <v>285</v>
      </c>
      <c r="E91" s="206"/>
      <c r="F91" s="206"/>
      <c r="G91" s="449" t="s">
        <v>297</v>
      </c>
      <c r="H91" s="449"/>
      <c r="I91" s="449"/>
      <c r="J91" s="449"/>
      <c r="K91" s="449"/>
      <c r="L91" s="449"/>
      <c r="M91" s="449"/>
      <c r="N91" s="449"/>
      <c r="O91" s="449"/>
      <c r="P91" s="449"/>
      <c r="Q91" s="449"/>
      <c r="R91" s="449"/>
      <c r="S91" s="449"/>
      <c r="T91" s="449"/>
      <c r="U91" s="449"/>
      <c r="V91" s="449"/>
      <c r="W91" s="449"/>
      <c r="X91" s="449"/>
      <c r="Y91" s="449"/>
      <c r="Z91" s="449"/>
      <c r="AA91" s="449"/>
      <c r="AB91" s="449"/>
      <c r="AC91" s="449"/>
      <c r="AD91" s="449"/>
      <c r="AE91" s="449"/>
      <c r="AF91" s="449"/>
    </row>
    <row r="92" spans="3:32" ht="17" customHeight="1">
      <c r="C92" s="56">
        <f t="shared" si="5"/>
        <v>10</v>
      </c>
      <c r="D92" s="206" t="s">
        <v>51</v>
      </c>
      <c r="E92" s="206"/>
      <c r="F92" s="206"/>
      <c r="G92" s="449" t="s">
        <v>286</v>
      </c>
      <c r="H92" s="449"/>
      <c r="I92" s="449"/>
      <c r="J92" s="449"/>
      <c r="K92" s="449"/>
      <c r="L92" s="449"/>
      <c r="M92" s="449"/>
      <c r="N92" s="449"/>
      <c r="O92" s="449"/>
      <c r="P92" s="449"/>
      <c r="Q92" s="449"/>
      <c r="R92" s="449"/>
      <c r="S92" s="449"/>
      <c r="T92" s="449"/>
      <c r="U92" s="449"/>
      <c r="V92" s="449"/>
      <c r="W92" s="449"/>
      <c r="X92" s="449"/>
      <c r="Y92" s="449"/>
      <c r="Z92" s="449"/>
      <c r="AA92" s="449"/>
      <c r="AB92" s="449"/>
      <c r="AC92" s="449"/>
      <c r="AD92" s="449"/>
      <c r="AE92" s="449"/>
      <c r="AF92" s="449"/>
    </row>
    <row r="93" spans="3:32" ht="17" customHeight="1">
      <c r="C93" s="56">
        <f t="shared" si="5"/>
        <v>11</v>
      </c>
      <c r="D93" s="206" t="s">
        <v>51</v>
      </c>
      <c r="E93" s="206"/>
      <c r="F93" s="206"/>
      <c r="G93" s="453" t="s">
        <v>287</v>
      </c>
      <c r="H93" s="453"/>
      <c r="I93" s="453"/>
      <c r="J93" s="453"/>
      <c r="K93" s="453"/>
      <c r="L93" s="453"/>
      <c r="M93" s="453"/>
      <c r="N93" s="453"/>
      <c r="O93" s="453"/>
      <c r="P93" s="453"/>
      <c r="Q93" s="453"/>
      <c r="R93" s="453"/>
      <c r="S93" s="453"/>
      <c r="T93" s="453"/>
      <c r="U93" s="453"/>
      <c r="V93" s="453"/>
      <c r="W93" s="453"/>
      <c r="X93" s="453"/>
      <c r="Y93" s="453"/>
      <c r="Z93" s="453"/>
      <c r="AA93" s="453"/>
      <c r="AB93" s="453"/>
      <c r="AC93" s="453"/>
      <c r="AD93" s="453"/>
      <c r="AE93" s="453"/>
      <c r="AF93" s="453"/>
    </row>
    <row r="94" spans="3:32" ht="17" customHeight="1">
      <c r="C94" s="56">
        <f t="shared" si="5"/>
        <v>12</v>
      </c>
      <c r="D94" s="206" t="s">
        <v>49</v>
      </c>
      <c r="E94" s="206"/>
      <c r="F94" s="206"/>
      <c r="G94" s="449" t="s">
        <v>298</v>
      </c>
      <c r="H94" s="449"/>
      <c r="I94" s="449"/>
      <c r="J94" s="449"/>
      <c r="K94" s="449"/>
      <c r="L94" s="449"/>
      <c r="M94" s="449"/>
      <c r="N94" s="449"/>
      <c r="O94" s="449"/>
      <c r="P94" s="449"/>
      <c r="Q94" s="449"/>
      <c r="R94" s="449"/>
      <c r="S94" s="449"/>
      <c r="T94" s="449"/>
      <c r="U94" s="449"/>
      <c r="V94" s="449"/>
      <c r="W94" s="449"/>
      <c r="X94" s="449"/>
      <c r="Y94" s="449"/>
      <c r="Z94" s="449"/>
      <c r="AA94" s="449"/>
      <c r="AB94" s="449"/>
      <c r="AC94" s="449"/>
      <c r="AD94" s="449"/>
      <c r="AE94" s="449"/>
      <c r="AF94" s="449"/>
    </row>
    <row r="95" spans="3:32" ht="17" customHeight="1">
      <c r="C95" s="56">
        <f t="shared" si="5"/>
        <v>13</v>
      </c>
      <c r="D95" s="206" t="s">
        <v>289</v>
      </c>
      <c r="E95" s="206"/>
      <c r="F95" s="206"/>
      <c r="G95" s="453" t="s">
        <v>299</v>
      </c>
      <c r="H95" s="453"/>
      <c r="I95" s="453"/>
      <c r="J95" s="453"/>
      <c r="K95" s="453"/>
      <c r="L95" s="453"/>
      <c r="M95" s="453"/>
      <c r="N95" s="453"/>
      <c r="O95" s="453"/>
      <c r="P95" s="453"/>
      <c r="Q95" s="453"/>
      <c r="R95" s="453"/>
      <c r="S95" s="453"/>
      <c r="T95" s="453"/>
      <c r="U95" s="453"/>
      <c r="V95" s="453"/>
      <c r="W95" s="453"/>
      <c r="X95" s="453"/>
      <c r="Y95" s="453"/>
      <c r="Z95" s="453"/>
      <c r="AA95" s="453"/>
      <c r="AB95" s="453"/>
      <c r="AC95" s="453"/>
      <c r="AD95" s="453"/>
      <c r="AE95" s="453"/>
      <c r="AF95" s="453"/>
    </row>
    <row r="96" spans="3:32" ht="17" customHeight="1">
      <c r="C96" s="56">
        <f t="shared" si="5"/>
        <v>14</v>
      </c>
      <c r="D96" s="206" t="s">
        <v>50</v>
      </c>
      <c r="E96" s="206"/>
      <c r="F96" s="206"/>
      <c r="G96" s="449" t="s">
        <v>288</v>
      </c>
      <c r="H96" s="449"/>
      <c r="I96" s="449"/>
      <c r="J96" s="449"/>
      <c r="K96" s="449"/>
      <c r="L96" s="449"/>
      <c r="M96" s="449"/>
      <c r="N96" s="449"/>
      <c r="O96" s="449"/>
      <c r="P96" s="449"/>
      <c r="Q96" s="449"/>
      <c r="R96" s="449"/>
      <c r="S96" s="449"/>
      <c r="T96" s="449"/>
      <c r="U96" s="449"/>
      <c r="V96" s="449"/>
      <c r="W96" s="449"/>
      <c r="X96" s="449"/>
      <c r="Y96" s="449"/>
      <c r="Z96" s="449"/>
      <c r="AA96" s="449"/>
      <c r="AB96" s="449"/>
      <c r="AC96" s="449"/>
      <c r="AD96" s="449"/>
      <c r="AE96" s="449"/>
      <c r="AF96" s="449"/>
    </row>
    <row r="97" spans="2:74" ht="17" customHeight="1">
      <c r="C97" s="56">
        <f t="shared" si="5"/>
        <v>15</v>
      </c>
      <c r="D97" s="206" t="s">
        <v>50</v>
      </c>
      <c r="E97" s="206"/>
      <c r="F97" s="206"/>
      <c r="G97" s="453" t="s">
        <v>300</v>
      </c>
      <c r="H97" s="453"/>
      <c r="I97" s="453"/>
      <c r="J97" s="453"/>
      <c r="K97" s="453"/>
      <c r="L97" s="453"/>
      <c r="M97" s="453"/>
      <c r="N97" s="453"/>
      <c r="O97" s="453"/>
      <c r="P97" s="453"/>
      <c r="Q97" s="453"/>
      <c r="R97" s="453"/>
      <c r="S97" s="453"/>
      <c r="T97" s="453"/>
      <c r="U97" s="453"/>
      <c r="V97" s="453"/>
      <c r="W97" s="453"/>
      <c r="X97" s="453"/>
      <c r="Y97" s="453"/>
      <c r="Z97" s="453"/>
      <c r="AA97" s="453"/>
      <c r="AB97" s="453"/>
      <c r="AC97" s="453"/>
      <c r="AD97" s="453"/>
      <c r="AE97" s="453"/>
      <c r="AF97" s="453"/>
    </row>
    <row r="98" spans="2:74" ht="17" customHeight="1">
      <c r="C98" s="56">
        <f t="shared" si="5"/>
        <v>16</v>
      </c>
      <c r="D98" s="206" t="s">
        <v>292</v>
      </c>
      <c r="E98" s="206"/>
      <c r="F98" s="206"/>
      <c r="G98" s="449" t="s">
        <v>301</v>
      </c>
      <c r="H98" s="449"/>
      <c r="I98" s="449"/>
      <c r="J98" s="449"/>
      <c r="K98" s="449"/>
      <c r="L98" s="449"/>
      <c r="M98" s="449"/>
      <c r="N98" s="449"/>
      <c r="O98" s="449"/>
      <c r="P98" s="449"/>
      <c r="Q98" s="449"/>
      <c r="R98" s="449"/>
      <c r="S98" s="449"/>
      <c r="T98" s="449"/>
      <c r="U98" s="449"/>
      <c r="V98" s="449"/>
      <c r="W98" s="449"/>
      <c r="X98" s="449"/>
      <c r="Y98" s="449"/>
      <c r="Z98" s="449"/>
      <c r="AA98" s="449"/>
      <c r="AB98" s="449"/>
      <c r="AC98" s="449"/>
      <c r="AD98" s="449"/>
      <c r="AE98" s="449"/>
      <c r="AF98" s="449"/>
    </row>
    <row r="99" spans="2:74" ht="17" customHeight="1">
      <c r="C99" s="56">
        <f t="shared" si="5"/>
        <v>17</v>
      </c>
      <c r="D99" s="206" t="s">
        <v>293</v>
      </c>
      <c r="E99" s="206"/>
      <c r="F99" s="206"/>
      <c r="G99" s="449" t="s">
        <v>302</v>
      </c>
      <c r="H99" s="449"/>
      <c r="I99" s="449"/>
      <c r="J99" s="449"/>
      <c r="K99" s="449"/>
      <c r="L99" s="449"/>
      <c r="M99" s="449"/>
      <c r="N99" s="449"/>
      <c r="O99" s="449"/>
      <c r="P99" s="449"/>
      <c r="Q99" s="449"/>
      <c r="R99" s="449"/>
      <c r="S99" s="449"/>
      <c r="T99" s="449"/>
      <c r="U99" s="449"/>
      <c r="V99" s="449"/>
      <c r="W99" s="449"/>
      <c r="X99" s="449"/>
      <c r="Y99" s="449"/>
      <c r="Z99" s="449"/>
      <c r="AA99" s="449"/>
      <c r="AB99" s="449"/>
      <c r="AC99" s="449"/>
      <c r="AD99" s="449"/>
      <c r="AE99" s="449"/>
      <c r="AF99" s="449"/>
    </row>
    <row r="100" spans="2:74" ht="17" customHeight="1">
      <c r="C100" s="56">
        <f t="shared" si="5"/>
        <v>18</v>
      </c>
      <c r="D100" s="206" t="s">
        <v>294</v>
      </c>
      <c r="E100" s="206"/>
      <c r="F100" s="206"/>
      <c r="G100" s="449" t="s">
        <v>290</v>
      </c>
      <c r="H100" s="449"/>
      <c r="I100" s="449"/>
      <c r="J100" s="449"/>
      <c r="K100" s="449"/>
      <c r="L100" s="449"/>
      <c r="M100" s="449"/>
      <c r="N100" s="449"/>
      <c r="O100" s="449"/>
      <c r="P100" s="449"/>
      <c r="Q100" s="449"/>
      <c r="R100" s="449"/>
      <c r="S100" s="449"/>
      <c r="T100" s="449"/>
      <c r="U100" s="449"/>
      <c r="V100" s="449"/>
      <c r="W100" s="449"/>
      <c r="X100" s="449"/>
      <c r="Y100" s="449"/>
      <c r="Z100" s="449"/>
      <c r="AA100" s="449"/>
      <c r="AB100" s="449"/>
      <c r="AC100" s="449"/>
      <c r="AD100" s="449"/>
      <c r="AE100" s="449"/>
      <c r="AF100" s="449"/>
    </row>
    <row r="101" spans="2:74" ht="17" customHeight="1">
      <c r="C101" s="56">
        <f t="shared" si="5"/>
        <v>19</v>
      </c>
      <c r="D101" s="206" t="s">
        <v>291</v>
      </c>
      <c r="E101" s="206"/>
      <c r="F101" s="206"/>
      <c r="G101" s="449" t="s">
        <v>303</v>
      </c>
      <c r="H101" s="449"/>
      <c r="I101" s="449"/>
      <c r="J101" s="449"/>
      <c r="K101" s="449"/>
      <c r="L101" s="449"/>
      <c r="M101" s="449"/>
      <c r="N101" s="449"/>
      <c r="O101" s="449"/>
      <c r="P101" s="449"/>
      <c r="Q101" s="449"/>
      <c r="R101" s="449"/>
      <c r="S101" s="449"/>
      <c r="T101" s="449"/>
      <c r="U101" s="449"/>
      <c r="V101" s="449"/>
      <c r="W101" s="449"/>
      <c r="X101" s="449"/>
      <c r="Y101" s="449"/>
      <c r="Z101" s="449"/>
      <c r="AA101" s="449"/>
      <c r="AB101" s="449"/>
      <c r="AC101" s="449"/>
      <c r="AD101" s="449"/>
      <c r="AE101" s="449"/>
      <c r="AF101" s="449"/>
    </row>
    <row r="102" spans="2:74" ht="17" customHeight="1">
      <c r="C102" s="56">
        <f t="shared" si="5"/>
        <v>20</v>
      </c>
      <c r="D102" s="206" t="s">
        <v>227</v>
      </c>
      <c r="E102" s="206"/>
      <c r="F102" s="206"/>
      <c r="G102" s="449" t="s">
        <v>304</v>
      </c>
      <c r="H102" s="449"/>
      <c r="I102" s="449"/>
      <c r="J102" s="449"/>
      <c r="K102" s="449"/>
      <c r="L102" s="449"/>
      <c r="M102" s="449"/>
      <c r="N102" s="449"/>
      <c r="O102" s="449"/>
      <c r="P102" s="449"/>
      <c r="Q102" s="449"/>
      <c r="R102" s="449"/>
      <c r="S102" s="449"/>
      <c r="T102" s="449"/>
      <c r="U102" s="449"/>
      <c r="V102" s="449"/>
      <c r="W102" s="449"/>
      <c r="X102" s="449"/>
      <c r="Y102" s="449"/>
      <c r="Z102" s="449"/>
      <c r="AA102" s="449"/>
      <c r="AB102" s="449"/>
      <c r="AC102" s="449"/>
      <c r="AD102" s="449"/>
      <c r="AE102" s="449"/>
      <c r="AF102" s="449"/>
    </row>
    <row r="105" spans="2:74" ht="17" customHeight="1">
      <c r="B105" t="s">
        <v>663</v>
      </c>
    </row>
    <row r="106" spans="2:74" ht="17" customHeight="1">
      <c r="B106" t="s">
        <v>427</v>
      </c>
    </row>
    <row r="107" spans="2:74" ht="17" customHeight="1">
      <c r="B107" t="s">
        <v>428</v>
      </c>
    </row>
    <row r="108" spans="2:74" ht="17" customHeight="1">
      <c r="B108" s="192" t="s">
        <v>56</v>
      </c>
      <c r="C108" s="421" t="s">
        <v>258</v>
      </c>
      <c r="D108" s="422"/>
      <c r="E108" s="422"/>
      <c r="F108" s="422"/>
      <c r="G108" s="422"/>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c r="AG108" s="422"/>
      <c r="AH108" s="422"/>
      <c r="AI108" s="422"/>
      <c r="AJ108" s="422"/>
      <c r="AK108" s="422"/>
      <c r="AL108" s="422"/>
      <c r="AM108" s="422"/>
      <c r="AN108" s="422"/>
      <c r="AO108" s="422"/>
      <c r="AP108" s="422"/>
      <c r="AQ108" s="422"/>
      <c r="AR108" s="422"/>
      <c r="AS108" s="423"/>
      <c r="AT108" s="345" t="s">
        <v>462</v>
      </c>
      <c r="AU108" s="346"/>
      <c r="AV108" s="347"/>
      <c r="AW108" s="591" t="s">
        <v>463</v>
      </c>
      <c r="AX108" s="592"/>
      <c r="AY108" s="593"/>
      <c r="AZ108" s="345" t="s">
        <v>915</v>
      </c>
      <c r="BA108" s="346"/>
      <c r="BB108" s="347"/>
      <c r="BC108" s="198" t="s">
        <v>461</v>
      </c>
      <c r="BD108" s="199"/>
      <c r="BE108" s="199"/>
      <c r="BF108" s="199"/>
      <c r="BG108" s="199"/>
      <c r="BH108" s="199"/>
      <c r="BI108" s="199"/>
      <c r="BJ108" s="199"/>
      <c r="BK108" s="199"/>
      <c r="BL108" s="199"/>
      <c r="BM108" s="199"/>
      <c r="BN108" s="199"/>
      <c r="BO108" s="199"/>
      <c r="BP108" s="199"/>
      <c r="BQ108" s="199"/>
      <c r="BR108" s="199"/>
      <c r="BS108" s="199"/>
      <c r="BT108" s="199"/>
      <c r="BU108" s="199"/>
      <c r="BV108" s="200"/>
    </row>
    <row r="109" spans="2:74" ht="17" customHeight="1">
      <c r="B109" s="193"/>
      <c r="C109" s="465" t="s">
        <v>244</v>
      </c>
      <c r="D109" s="465"/>
      <c r="E109" s="465"/>
      <c r="F109" s="465" t="s">
        <v>245</v>
      </c>
      <c r="G109" s="479"/>
      <c r="H109" s="479"/>
      <c r="I109" s="479"/>
      <c r="J109" s="479"/>
      <c r="K109" s="465" t="s">
        <v>246</v>
      </c>
      <c r="L109" s="479"/>
      <c r="M109" s="479"/>
      <c r="N109" s="479"/>
      <c r="O109" s="479"/>
      <c r="P109" s="465" t="s">
        <v>247</v>
      </c>
      <c r="Q109" s="479"/>
      <c r="R109" s="479"/>
      <c r="S109" s="479"/>
      <c r="T109" s="479"/>
      <c r="U109" s="465" t="s">
        <v>248</v>
      </c>
      <c r="V109" s="479"/>
      <c r="W109" s="479"/>
      <c r="X109" s="479"/>
      <c r="Y109" s="479"/>
      <c r="Z109" s="465" t="s">
        <v>249</v>
      </c>
      <c r="AA109" s="479"/>
      <c r="AB109" s="479"/>
      <c r="AC109" s="479"/>
      <c r="AD109" s="479"/>
      <c r="AE109" s="478" t="s">
        <v>250</v>
      </c>
      <c r="AF109" s="481"/>
      <c r="AG109" s="481"/>
      <c r="AH109" s="481"/>
      <c r="AI109" s="481"/>
      <c r="AJ109" s="482"/>
      <c r="AK109" s="465" t="s">
        <v>251</v>
      </c>
      <c r="AL109" s="465"/>
      <c r="AM109" s="465"/>
      <c r="AN109" s="465" t="s">
        <v>253</v>
      </c>
      <c r="AO109" s="465"/>
      <c r="AP109" s="465"/>
      <c r="AQ109" s="465" t="s">
        <v>254</v>
      </c>
      <c r="AR109" s="465"/>
      <c r="AS109" s="465"/>
      <c r="AT109" s="348"/>
      <c r="AU109" s="349"/>
      <c r="AV109" s="350"/>
      <c r="AW109" s="594" t="s">
        <v>464</v>
      </c>
      <c r="AX109" s="595"/>
      <c r="AY109" s="596"/>
      <c r="AZ109" s="348"/>
      <c r="BA109" s="349"/>
      <c r="BB109" s="350"/>
      <c r="BC109" s="529" t="s">
        <v>401</v>
      </c>
      <c r="BD109" s="528"/>
      <c r="BE109" s="528"/>
      <c r="BF109" s="528"/>
      <c r="BG109" s="528" t="s">
        <v>401</v>
      </c>
      <c r="BH109" s="528"/>
      <c r="BI109" s="528"/>
      <c r="BJ109" s="528"/>
      <c r="BK109" s="528" t="s">
        <v>402</v>
      </c>
      <c r="BL109" s="528"/>
      <c r="BM109" s="528"/>
      <c r="BN109" s="528"/>
      <c r="BO109" s="528" t="s">
        <v>403</v>
      </c>
      <c r="BP109" s="528"/>
      <c r="BQ109" s="528"/>
      <c r="BR109" s="528"/>
      <c r="BS109" s="528" t="s">
        <v>404</v>
      </c>
      <c r="BT109" s="528"/>
      <c r="BU109" s="528"/>
      <c r="BV109" s="528"/>
    </row>
    <row r="110" spans="2:74" ht="17" customHeight="1">
      <c r="B110" s="193"/>
      <c r="C110" s="530" t="s">
        <v>200</v>
      </c>
      <c r="D110" s="531"/>
      <c r="E110" s="532"/>
      <c r="F110" s="530" t="s">
        <v>202</v>
      </c>
      <c r="G110" s="531"/>
      <c r="H110" s="531"/>
      <c r="I110" s="531"/>
      <c r="J110" s="532"/>
      <c r="K110" s="530" t="s">
        <v>225</v>
      </c>
      <c r="L110" s="531"/>
      <c r="M110" s="531"/>
      <c r="N110" s="531"/>
      <c r="O110" s="532"/>
      <c r="P110" s="530" t="s">
        <v>51</v>
      </c>
      <c r="Q110" s="531"/>
      <c r="R110" s="531"/>
      <c r="S110" s="531"/>
      <c r="T110" s="532"/>
      <c r="U110" s="530" t="s">
        <v>49</v>
      </c>
      <c r="V110" s="531"/>
      <c r="W110" s="531"/>
      <c r="X110" s="531"/>
      <c r="Y110" s="532"/>
      <c r="Z110" s="530" t="s">
        <v>50</v>
      </c>
      <c r="AA110" s="531"/>
      <c r="AB110" s="531"/>
      <c r="AC110" s="531"/>
      <c r="AD110" s="532"/>
      <c r="AE110" s="530" t="s">
        <v>204</v>
      </c>
      <c r="AF110" s="531"/>
      <c r="AG110" s="531"/>
      <c r="AH110" s="531"/>
      <c r="AI110" s="531"/>
      <c r="AJ110" s="532"/>
      <c r="AK110" s="530" t="s">
        <v>205</v>
      </c>
      <c r="AL110" s="531"/>
      <c r="AM110" s="532"/>
      <c r="AN110" s="530" t="s">
        <v>219</v>
      </c>
      <c r="AO110" s="531"/>
      <c r="AP110" s="532"/>
      <c r="AQ110" s="530" t="s">
        <v>227</v>
      </c>
      <c r="AR110" s="531"/>
      <c r="AS110" s="532"/>
      <c r="AT110" s="348"/>
      <c r="AU110" s="349"/>
      <c r="AV110" s="350"/>
      <c r="AW110" s="597"/>
      <c r="AX110" s="598"/>
      <c r="AY110" s="599"/>
      <c r="AZ110" s="348"/>
      <c r="BA110" s="349"/>
      <c r="BB110" s="350"/>
      <c r="BC110" s="529"/>
      <c r="BD110" s="528"/>
      <c r="BE110" s="528"/>
      <c r="BF110" s="528"/>
      <c r="BG110" s="528"/>
      <c r="BH110" s="528"/>
      <c r="BI110" s="528"/>
      <c r="BJ110" s="528"/>
      <c r="BK110" s="528"/>
      <c r="BL110" s="528"/>
      <c r="BM110" s="528"/>
      <c r="BN110" s="528"/>
      <c r="BO110" s="528"/>
      <c r="BP110" s="528"/>
      <c r="BQ110" s="528"/>
      <c r="BR110" s="528"/>
      <c r="BS110" s="528"/>
      <c r="BT110" s="528"/>
      <c r="BU110" s="528"/>
      <c r="BV110" s="528"/>
    </row>
    <row r="111" spans="2:74" ht="17" customHeight="1">
      <c r="B111" s="194"/>
      <c r="C111" s="533"/>
      <c r="D111" s="534"/>
      <c r="E111" s="535"/>
      <c r="F111" s="533"/>
      <c r="G111" s="534"/>
      <c r="H111" s="534"/>
      <c r="I111" s="534"/>
      <c r="J111" s="535"/>
      <c r="K111" s="533"/>
      <c r="L111" s="534"/>
      <c r="M111" s="534"/>
      <c r="N111" s="534"/>
      <c r="O111" s="535"/>
      <c r="P111" s="533"/>
      <c r="Q111" s="534"/>
      <c r="R111" s="534"/>
      <c r="S111" s="534"/>
      <c r="T111" s="535"/>
      <c r="U111" s="533"/>
      <c r="V111" s="534"/>
      <c r="W111" s="534"/>
      <c r="X111" s="534"/>
      <c r="Y111" s="535"/>
      <c r="Z111" s="533"/>
      <c r="AA111" s="534"/>
      <c r="AB111" s="534"/>
      <c r="AC111" s="534"/>
      <c r="AD111" s="535"/>
      <c r="AE111" s="533"/>
      <c r="AF111" s="534"/>
      <c r="AG111" s="534"/>
      <c r="AH111" s="534"/>
      <c r="AI111" s="534"/>
      <c r="AJ111" s="535"/>
      <c r="AK111" s="533"/>
      <c r="AL111" s="534"/>
      <c r="AM111" s="535"/>
      <c r="AN111" s="533"/>
      <c r="AO111" s="534"/>
      <c r="AP111" s="535"/>
      <c r="AQ111" s="533"/>
      <c r="AR111" s="534"/>
      <c r="AS111" s="535"/>
      <c r="AT111" s="348"/>
      <c r="AU111" s="349"/>
      <c r="AV111" s="350"/>
      <c r="AW111" s="600"/>
      <c r="AX111" s="601"/>
      <c r="AY111" s="602"/>
      <c r="AZ111" s="348"/>
      <c r="BA111" s="349"/>
      <c r="BB111" s="350"/>
      <c r="BC111" s="529"/>
      <c r="BD111" s="528"/>
      <c r="BE111" s="528"/>
      <c r="BF111" s="528"/>
      <c r="BG111" s="528"/>
      <c r="BH111" s="528"/>
      <c r="BI111" s="528"/>
      <c r="BJ111" s="528"/>
      <c r="BK111" s="528"/>
      <c r="BL111" s="528"/>
      <c r="BM111" s="528"/>
      <c r="BN111" s="528"/>
      <c r="BO111" s="528"/>
      <c r="BP111" s="528"/>
      <c r="BQ111" s="528"/>
      <c r="BR111" s="528"/>
      <c r="BS111" s="528"/>
      <c r="BT111" s="528"/>
      <c r="BU111" s="528"/>
      <c r="BV111" s="528"/>
    </row>
    <row r="112" spans="2:74" ht="17" customHeight="1">
      <c r="B112" s="239">
        <v>1</v>
      </c>
      <c r="C112" s="354">
        <v>101</v>
      </c>
      <c r="D112" s="355"/>
      <c r="E112" s="356"/>
      <c r="F112" s="357" t="s">
        <v>273</v>
      </c>
      <c r="G112" s="358"/>
      <c r="H112" s="358"/>
      <c r="I112" s="358"/>
      <c r="J112" s="359"/>
      <c r="K112" s="357" t="s">
        <v>271</v>
      </c>
      <c r="L112" s="358"/>
      <c r="M112" s="358"/>
      <c r="N112" s="358"/>
      <c r="O112" s="359"/>
      <c r="P112" s="357" t="s">
        <v>214</v>
      </c>
      <c r="Q112" s="358"/>
      <c r="R112" s="358"/>
      <c r="S112" s="358"/>
      <c r="T112" s="359"/>
      <c r="U112" s="357" t="s">
        <v>186</v>
      </c>
      <c r="V112" s="358"/>
      <c r="W112" s="358"/>
      <c r="X112" s="358"/>
      <c r="Y112" s="359"/>
      <c r="Z112" s="357" t="s">
        <v>193</v>
      </c>
      <c r="AA112" s="358"/>
      <c r="AB112" s="358"/>
      <c r="AC112" s="358"/>
      <c r="AD112" s="359"/>
      <c r="AE112" s="370" t="s">
        <v>275</v>
      </c>
      <c r="AF112" s="370"/>
      <c r="AG112" s="370"/>
      <c r="AH112" s="370"/>
      <c r="AI112" s="370"/>
      <c r="AJ112" s="370"/>
      <c r="AK112" s="354" t="s">
        <v>114</v>
      </c>
      <c r="AL112" s="355"/>
      <c r="AM112" s="356"/>
      <c r="AN112" s="354">
        <v>1</v>
      </c>
      <c r="AO112" s="355"/>
      <c r="AP112" s="356"/>
      <c r="AQ112" s="354">
        <v>0</v>
      </c>
      <c r="AR112" s="355"/>
      <c r="AS112" s="356"/>
      <c r="AT112" s="348"/>
      <c r="AU112" s="349"/>
      <c r="AV112" s="350"/>
      <c r="AW112" s="224" t="s">
        <v>496</v>
      </c>
      <c r="AX112" s="225"/>
      <c r="AY112" s="226"/>
      <c r="AZ112" s="348"/>
      <c r="BA112" s="349"/>
      <c r="BB112" s="350"/>
      <c r="BC112" s="550" t="s">
        <v>411</v>
      </c>
      <c r="BD112" s="551"/>
      <c r="BE112" s="551"/>
      <c r="BF112" s="552"/>
      <c r="BG112" s="550" t="s">
        <v>412</v>
      </c>
      <c r="BH112" s="551"/>
      <c r="BI112" s="551"/>
      <c r="BJ112" s="552"/>
      <c r="BK112" s="224" t="s">
        <v>424</v>
      </c>
      <c r="BL112" s="225"/>
      <c r="BM112" s="225"/>
      <c r="BN112" s="226"/>
      <c r="BO112" s="224" t="s">
        <v>424</v>
      </c>
      <c r="BP112" s="225"/>
      <c r="BQ112" s="225"/>
      <c r="BR112" s="226"/>
      <c r="BS112" s="224" t="s">
        <v>424</v>
      </c>
      <c r="BT112" s="225"/>
      <c r="BU112" s="225"/>
      <c r="BV112" s="226"/>
    </row>
    <row r="113" spans="2:74" ht="17" customHeight="1">
      <c r="B113" s="227"/>
      <c r="C113" s="375">
        <v>102</v>
      </c>
      <c r="D113" s="376"/>
      <c r="E113" s="377"/>
      <c r="F113" s="417" t="s">
        <v>272</v>
      </c>
      <c r="G113" s="418"/>
      <c r="H113" s="418"/>
      <c r="I113" s="418"/>
      <c r="J113" s="419"/>
      <c r="K113" s="417" t="s">
        <v>76</v>
      </c>
      <c r="L113" s="418"/>
      <c r="M113" s="418"/>
      <c r="N113" s="418"/>
      <c r="O113" s="419"/>
      <c r="P113" s="417" t="s">
        <v>215</v>
      </c>
      <c r="Q113" s="418"/>
      <c r="R113" s="418"/>
      <c r="S113" s="418"/>
      <c r="T113" s="419"/>
      <c r="U113" s="417" t="s">
        <v>187</v>
      </c>
      <c r="V113" s="418"/>
      <c r="W113" s="418"/>
      <c r="X113" s="418"/>
      <c r="Y113" s="419"/>
      <c r="Z113" s="417" t="s">
        <v>195</v>
      </c>
      <c r="AA113" s="418"/>
      <c r="AB113" s="418"/>
      <c r="AC113" s="418"/>
      <c r="AD113" s="419"/>
      <c r="AE113" s="227" t="s">
        <v>323</v>
      </c>
      <c r="AF113" s="227"/>
      <c r="AG113" s="227"/>
      <c r="AH113" s="227"/>
      <c r="AI113" s="227"/>
      <c r="AJ113" s="227"/>
      <c r="AK113" s="375" t="s">
        <v>114</v>
      </c>
      <c r="AL113" s="376"/>
      <c r="AM113" s="377"/>
      <c r="AN113" s="375">
        <v>0</v>
      </c>
      <c r="AO113" s="376"/>
      <c r="AP113" s="377"/>
      <c r="AQ113" s="375">
        <v>1</v>
      </c>
      <c r="AR113" s="376"/>
      <c r="AS113" s="377"/>
      <c r="AT113" s="348"/>
      <c r="AU113" s="349"/>
      <c r="AV113" s="350"/>
      <c r="AW113" s="387" t="s">
        <v>471</v>
      </c>
      <c r="AX113" s="388"/>
      <c r="AY113" s="389"/>
      <c r="AZ113" s="348"/>
      <c r="BA113" s="349"/>
      <c r="BB113" s="350"/>
      <c r="BC113" s="432" t="s">
        <v>490</v>
      </c>
      <c r="BD113" s="433"/>
      <c r="BE113" s="433"/>
      <c r="BF113" s="434"/>
      <c r="BG113" s="432" t="s">
        <v>426</v>
      </c>
      <c r="BH113" s="433"/>
      <c r="BI113" s="433"/>
      <c r="BJ113" s="434"/>
      <c r="BK113" s="228"/>
      <c r="BL113" s="153"/>
      <c r="BM113" s="153"/>
      <c r="BN113" s="229"/>
      <c r="BO113" s="228"/>
      <c r="BP113" s="153"/>
      <c r="BQ113" s="153"/>
      <c r="BR113" s="229"/>
      <c r="BS113" s="228"/>
      <c r="BT113" s="153"/>
      <c r="BU113" s="153"/>
      <c r="BV113" s="229"/>
    </row>
    <row r="114" spans="2:74" ht="17" customHeight="1">
      <c r="B114" s="240"/>
      <c r="C114" s="378">
        <v>103</v>
      </c>
      <c r="D114" s="379"/>
      <c r="E114" s="380"/>
      <c r="F114" s="322" t="s">
        <v>312</v>
      </c>
      <c r="G114" s="323"/>
      <c r="H114" s="323"/>
      <c r="I114" s="323"/>
      <c r="J114" s="324"/>
      <c r="K114" s="322" t="s">
        <v>313</v>
      </c>
      <c r="L114" s="323"/>
      <c r="M114" s="323"/>
      <c r="N114" s="323"/>
      <c r="O114" s="324"/>
      <c r="P114" s="322" t="s">
        <v>215</v>
      </c>
      <c r="Q114" s="323"/>
      <c r="R114" s="323"/>
      <c r="S114" s="323"/>
      <c r="T114" s="324"/>
      <c r="U114" s="322" t="s">
        <v>188</v>
      </c>
      <c r="V114" s="323"/>
      <c r="W114" s="323"/>
      <c r="X114" s="323"/>
      <c r="Y114" s="324"/>
      <c r="Z114" s="322" t="s">
        <v>193</v>
      </c>
      <c r="AA114" s="323"/>
      <c r="AB114" s="323"/>
      <c r="AC114" s="323"/>
      <c r="AD114" s="324"/>
      <c r="AE114" s="427" t="s">
        <v>324</v>
      </c>
      <c r="AF114" s="427"/>
      <c r="AG114" s="427"/>
      <c r="AH114" s="427"/>
      <c r="AI114" s="427"/>
      <c r="AJ114" s="427"/>
      <c r="AK114" s="378" t="s">
        <v>114</v>
      </c>
      <c r="AL114" s="379"/>
      <c r="AM114" s="380"/>
      <c r="AN114" s="378" t="s">
        <v>317</v>
      </c>
      <c r="AO114" s="379"/>
      <c r="AP114" s="380"/>
      <c r="AQ114" s="378" t="s">
        <v>317</v>
      </c>
      <c r="AR114" s="379"/>
      <c r="AS114" s="380"/>
      <c r="AT114" s="348"/>
      <c r="AU114" s="349"/>
      <c r="AV114" s="350"/>
      <c r="AW114" s="241" t="s">
        <v>471</v>
      </c>
      <c r="AX114" s="242"/>
      <c r="AY114" s="243"/>
      <c r="AZ114" s="348"/>
      <c r="BA114" s="349"/>
      <c r="BB114" s="350"/>
      <c r="BC114" s="432" t="s">
        <v>491</v>
      </c>
      <c r="BD114" s="433"/>
      <c r="BE114" s="433"/>
      <c r="BF114" s="434"/>
      <c r="BG114" s="432" t="s">
        <v>482</v>
      </c>
      <c r="BH114" s="433"/>
      <c r="BI114" s="433"/>
      <c r="BJ114" s="434"/>
      <c r="BK114" s="241"/>
      <c r="BL114" s="242"/>
      <c r="BM114" s="242"/>
      <c r="BN114" s="243"/>
      <c r="BO114" s="241"/>
      <c r="BP114" s="242"/>
      <c r="BQ114" s="242"/>
      <c r="BR114" s="243"/>
      <c r="BS114" s="241"/>
      <c r="BT114" s="242"/>
      <c r="BU114" s="242"/>
      <c r="BV114" s="243"/>
    </row>
    <row r="115" spans="2:74" ht="17" customHeight="1">
      <c r="B115" s="239">
        <v>2</v>
      </c>
      <c r="C115" s="502">
        <v>104</v>
      </c>
      <c r="D115" s="503"/>
      <c r="E115" s="504"/>
      <c r="F115" s="541" t="s">
        <v>320</v>
      </c>
      <c r="G115" s="542"/>
      <c r="H115" s="542"/>
      <c r="I115" s="542"/>
      <c r="J115" s="543"/>
      <c r="K115" s="541" t="s">
        <v>313</v>
      </c>
      <c r="L115" s="542"/>
      <c r="M115" s="542"/>
      <c r="N115" s="542"/>
      <c r="O115" s="543"/>
      <c r="P115" s="541" t="s">
        <v>214</v>
      </c>
      <c r="Q115" s="542"/>
      <c r="R115" s="542"/>
      <c r="S115" s="542"/>
      <c r="T115" s="543"/>
      <c r="U115" s="541" t="s">
        <v>186</v>
      </c>
      <c r="V115" s="542"/>
      <c r="W115" s="542"/>
      <c r="X115" s="542"/>
      <c r="Y115" s="543"/>
      <c r="Z115" s="544" t="s">
        <v>274</v>
      </c>
      <c r="AA115" s="545"/>
      <c r="AB115" s="545"/>
      <c r="AC115" s="545"/>
      <c r="AD115" s="546"/>
      <c r="AE115" s="239" t="s">
        <v>325</v>
      </c>
      <c r="AF115" s="239"/>
      <c r="AG115" s="239"/>
      <c r="AH115" s="239"/>
      <c r="AI115" s="239"/>
      <c r="AJ115" s="239"/>
      <c r="AK115" s="502" t="s">
        <v>114</v>
      </c>
      <c r="AL115" s="503"/>
      <c r="AM115" s="504"/>
      <c r="AN115" s="502" t="s">
        <v>313</v>
      </c>
      <c r="AO115" s="503"/>
      <c r="AP115" s="504"/>
      <c r="AQ115" s="502" t="s">
        <v>313</v>
      </c>
      <c r="AR115" s="503"/>
      <c r="AS115" s="504"/>
      <c r="AT115" s="348"/>
      <c r="AU115" s="349"/>
      <c r="AV115" s="350"/>
      <c r="AW115" s="224" t="s">
        <v>496</v>
      </c>
      <c r="AX115" s="225"/>
      <c r="AY115" s="226"/>
      <c r="AZ115" s="348"/>
      <c r="BA115" s="349"/>
      <c r="BB115" s="350"/>
      <c r="BC115" s="550" t="s">
        <v>492</v>
      </c>
      <c r="BD115" s="551"/>
      <c r="BE115" s="551"/>
      <c r="BF115" s="552"/>
      <c r="BG115" s="550" t="s">
        <v>483</v>
      </c>
      <c r="BH115" s="551"/>
      <c r="BI115" s="551"/>
      <c r="BJ115" s="552"/>
      <c r="BK115" s="408" t="s">
        <v>424</v>
      </c>
      <c r="BL115" s="409"/>
      <c r="BM115" s="409"/>
      <c r="BN115" s="410"/>
      <c r="BO115" s="408" t="s">
        <v>424</v>
      </c>
      <c r="BP115" s="409"/>
      <c r="BQ115" s="409"/>
      <c r="BR115" s="410"/>
      <c r="BS115" s="408" t="s">
        <v>457</v>
      </c>
      <c r="BT115" s="409"/>
      <c r="BU115" s="409"/>
      <c r="BV115" s="410"/>
    </row>
    <row r="116" spans="2:74" ht="17" customHeight="1">
      <c r="B116" s="227"/>
      <c r="C116" s="330">
        <v>105</v>
      </c>
      <c r="D116" s="331"/>
      <c r="E116" s="332"/>
      <c r="F116" s="371" t="s">
        <v>322</v>
      </c>
      <c r="G116" s="372"/>
      <c r="H116" s="372"/>
      <c r="I116" s="372"/>
      <c r="J116" s="373"/>
      <c r="K116" s="371" t="s">
        <v>313</v>
      </c>
      <c r="L116" s="372"/>
      <c r="M116" s="372"/>
      <c r="N116" s="372"/>
      <c r="O116" s="373"/>
      <c r="P116" s="371" t="s">
        <v>314</v>
      </c>
      <c r="Q116" s="372"/>
      <c r="R116" s="372"/>
      <c r="S116" s="372"/>
      <c r="T116" s="373"/>
      <c r="U116" s="325" t="s">
        <v>315</v>
      </c>
      <c r="V116" s="326"/>
      <c r="W116" s="326"/>
      <c r="X116" s="326"/>
      <c r="Y116" s="327"/>
      <c r="Z116" s="325" t="s">
        <v>316</v>
      </c>
      <c r="AA116" s="326"/>
      <c r="AB116" s="326"/>
      <c r="AC116" s="326"/>
      <c r="AD116" s="327"/>
      <c r="AE116" s="329" t="s">
        <v>326</v>
      </c>
      <c r="AF116" s="329"/>
      <c r="AG116" s="329"/>
      <c r="AH116" s="329"/>
      <c r="AI116" s="329"/>
      <c r="AJ116" s="329"/>
      <c r="AK116" s="330" t="s">
        <v>114</v>
      </c>
      <c r="AL116" s="331"/>
      <c r="AM116" s="332"/>
      <c r="AN116" s="330" t="s">
        <v>313</v>
      </c>
      <c r="AO116" s="331"/>
      <c r="AP116" s="332"/>
      <c r="AQ116" s="330" t="s">
        <v>313</v>
      </c>
      <c r="AR116" s="331"/>
      <c r="AS116" s="332"/>
      <c r="AT116" s="348"/>
      <c r="AU116" s="349"/>
      <c r="AV116" s="350"/>
      <c r="AW116" s="387" t="s">
        <v>471</v>
      </c>
      <c r="AX116" s="388"/>
      <c r="AY116" s="389"/>
      <c r="AZ116" s="348"/>
      <c r="BA116" s="349"/>
      <c r="BB116" s="350"/>
      <c r="BC116" s="432" t="s">
        <v>493</v>
      </c>
      <c r="BD116" s="433"/>
      <c r="BE116" s="433"/>
      <c r="BF116" s="434"/>
      <c r="BG116" s="432" t="s">
        <v>484</v>
      </c>
      <c r="BH116" s="433"/>
      <c r="BI116" s="433"/>
      <c r="BJ116" s="434"/>
      <c r="BK116" s="387" t="s">
        <v>424</v>
      </c>
      <c r="BL116" s="388"/>
      <c r="BM116" s="388"/>
      <c r="BN116" s="389"/>
      <c r="BO116" s="387" t="s">
        <v>458</v>
      </c>
      <c r="BP116" s="388"/>
      <c r="BQ116" s="388"/>
      <c r="BR116" s="389"/>
      <c r="BS116" s="387" t="s">
        <v>455</v>
      </c>
      <c r="BT116" s="388"/>
      <c r="BU116" s="388"/>
      <c r="BV116" s="389"/>
    </row>
    <row r="117" spans="2:74" ht="17" customHeight="1">
      <c r="B117" s="227"/>
      <c r="C117" s="556">
        <v>106</v>
      </c>
      <c r="D117" s="557"/>
      <c r="E117" s="558"/>
      <c r="F117" s="559" t="s">
        <v>327</v>
      </c>
      <c r="G117" s="560"/>
      <c r="H117" s="560"/>
      <c r="I117" s="560"/>
      <c r="J117" s="561"/>
      <c r="K117" s="371" t="s">
        <v>313</v>
      </c>
      <c r="L117" s="372"/>
      <c r="M117" s="372"/>
      <c r="N117" s="372"/>
      <c r="O117" s="373"/>
      <c r="P117" s="325" t="s">
        <v>335</v>
      </c>
      <c r="Q117" s="326"/>
      <c r="R117" s="326"/>
      <c r="S117" s="326"/>
      <c r="T117" s="327"/>
      <c r="U117" s="371" t="s">
        <v>186</v>
      </c>
      <c r="V117" s="372"/>
      <c r="W117" s="372"/>
      <c r="X117" s="372"/>
      <c r="Y117" s="373"/>
      <c r="Z117" s="371" t="s">
        <v>193</v>
      </c>
      <c r="AA117" s="372"/>
      <c r="AB117" s="372"/>
      <c r="AC117" s="372"/>
      <c r="AD117" s="373"/>
      <c r="AE117" s="329" t="s">
        <v>336</v>
      </c>
      <c r="AF117" s="329"/>
      <c r="AG117" s="329"/>
      <c r="AH117" s="329"/>
      <c r="AI117" s="329"/>
      <c r="AJ117" s="329"/>
      <c r="AK117" s="330" t="s">
        <v>114</v>
      </c>
      <c r="AL117" s="331"/>
      <c r="AM117" s="332"/>
      <c r="AN117" s="330" t="s">
        <v>313</v>
      </c>
      <c r="AO117" s="331"/>
      <c r="AP117" s="332"/>
      <c r="AQ117" s="330" t="s">
        <v>313</v>
      </c>
      <c r="AR117" s="331"/>
      <c r="AS117" s="332"/>
      <c r="AT117" s="348"/>
      <c r="AU117" s="349"/>
      <c r="AV117" s="350"/>
      <c r="AW117" s="387" t="s">
        <v>471</v>
      </c>
      <c r="AX117" s="388"/>
      <c r="AY117" s="389"/>
      <c r="AZ117" s="348"/>
      <c r="BA117" s="349"/>
      <c r="BB117" s="350"/>
      <c r="BC117" s="432" t="s">
        <v>476</v>
      </c>
      <c r="BD117" s="433"/>
      <c r="BE117" s="433"/>
      <c r="BF117" s="434"/>
      <c r="BG117" s="432" t="s">
        <v>485</v>
      </c>
      <c r="BH117" s="433"/>
      <c r="BI117" s="433"/>
      <c r="BJ117" s="434"/>
      <c r="BK117" s="387" t="s">
        <v>429</v>
      </c>
      <c r="BL117" s="388"/>
      <c r="BM117" s="388"/>
      <c r="BN117" s="389"/>
      <c r="BO117" s="387" t="s">
        <v>424</v>
      </c>
      <c r="BP117" s="388"/>
      <c r="BQ117" s="388"/>
      <c r="BR117" s="389"/>
      <c r="BS117" s="387" t="s">
        <v>424</v>
      </c>
      <c r="BT117" s="388"/>
      <c r="BU117" s="388"/>
      <c r="BV117" s="389"/>
    </row>
    <row r="118" spans="2:74" ht="17" customHeight="1">
      <c r="B118" s="227"/>
      <c r="C118" s="553">
        <v>2</v>
      </c>
      <c r="D118" s="554"/>
      <c r="E118" s="555"/>
      <c r="F118" s="371" t="s">
        <v>430</v>
      </c>
      <c r="G118" s="372"/>
      <c r="H118" s="372"/>
      <c r="I118" s="372"/>
      <c r="J118" s="373"/>
      <c r="K118" s="371" t="s">
        <v>313</v>
      </c>
      <c r="L118" s="372"/>
      <c r="M118" s="372"/>
      <c r="N118" s="372"/>
      <c r="O118" s="373"/>
      <c r="P118" s="371" t="s">
        <v>214</v>
      </c>
      <c r="Q118" s="372"/>
      <c r="R118" s="372"/>
      <c r="S118" s="372"/>
      <c r="T118" s="373"/>
      <c r="U118" s="371" t="s">
        <v>340</v>
      </c>
      <c r="V118" s="372"/>
      <c r="W118" s="372"/>
      <c r="X118" s="372"/>
      <c r="Y118" s="373"/>
      <c r="Z118" s="371" t="s">
        <v>341</v>
      </c>
      <c r="AA118" s="372"/>
      <c r="AB118" s="372"/>
      <c r="AC118" s="372"/>
      <c r="AD118" s="373"/>
      <c r="AE118" s="547" t="s">
        <v>338</v>
      </c>
      <c r="AF118" s="547"/>
      <c r="AG118" s="547"/>
      <c r="AH118" s="547"/>
      <c r="AI118" s="547"/>
      <c r="AJ118" s="547"/>
      <c r="AK118" s="330" t="s">
        <v>114</v>
      </c>
      <c r="AL118" s="331"/>
      <c r="AM118" s="332"/>
      <c r="AN118" s="330" t="s">
        <v>313</v>
      </c>
      <c r="AO118" s="331"/>
      <c r="AP118" s="332"/>
      <c r="AQ118" s="330" t="s">
        <v>313</v>
      </c>
      <c r="AR118" s="331"/>
      <c r="AS118" s="332"/>
      <c r="AT118" s="348"/>
      <c r="AU118" s="349"/>
      <c r="AV118" s="350"/>
      <c r="AW118" s="387" t="s">
        <v>471</v>
      </c>
      <c r="AX118" s="388"/>
      <c r="AY118" s="389"/>
      <c r="AZ118" s="348"/>
      <c r="BA118" s="349"/>
      <c r="BB118" s="350"/>
      <c r="BC118" s="432" t="s">
        <v>477</v>
      </c>
      <c r="BD118" s="433"/>
      <c r="BE118" s="433"/>
      <c r="BF118" s="434"/>
      <c r="BG118" s="432" t="s">
        <v>486</v>
      </c>
      <c r="BH118" s="433"/>
      <c r="BI118" s="433"/>
      <c r="BJ118" s="434"/>
      <c r="BK118" s="387" t="s">
        <v>424</v>
      </c>
      <c r="BL118" s="388"/>
      <c r="BM118" s="388"/>
      <c r="BN118" s="389"/>
      <c r="BO118" s="387" t="s">
        <v>424</v>
      </c>
      <c r="BP118" s="388"/>
      <c r="BQ118" s="388"/>
      <c r="BR118" s="389"/>
      <c r="BS118" s="387" t="s">
        <v>424</v>
      </c>
      <c r="BT118" s="388"/>
      <c r="BU118" s="388"/>
      <c r="BV118" s="389"/>
    </row>
    <row r="119" spans="2:74" ht="17" customHeight="1">
      <c r="B119" s="227"/>
      <c r="C119" s="375">
        <v>108</v>
      </c>
      <c r="D119" s="376"/>
      <c r="E119" s="377"/>
      <c r="F119" s="417" t="s">
        <v>329</v>
      </c>
      <c r="G119" s="418"/>
      <c r="H119" s="418"/>
      <c r="I119" s="418"/>
      <c r="J119" s="419"/>
      <c r="K119" s="417" t="s">
        <v>313</v>
      </c>
      <c r="L119" s="418"/>
      <c r="M119" s="418"/>
      <c r="N119" s="418"/>
      <c r="O119" s="419"/>
      <c r="P119" s="417" t="s">
        <v>214</v>
      </c>
      <c r="Q119" s="418"/>
      <c r="R119" s="418"/>
      <c r="S119" s="418"/>
      <c r="T119" s="419"/>
      <c r="U119" s="417" t="s">
        <v>186</v>
      </c>
      <c r="V119" s="418"/>
      <c r="W119" s="418"/>
      <c r="X119" s="418"/>
      <c r="Y119" s="419"/>
      <c r="Z119" s="366" t="s">
        <v>274</v>
      </c>
      <c r="AA119" s="367"/>
      <c r="AB119" s="367"/>
      <c r="AC119" s="367"/>
      <c r="AD119" s="368"/>
      <c r="AE119" s="387" t="s">
        <v>343</v>
      </c>
      <c r="AF119" s="388"/>
      <c r="AG119" s="388"/>
      <c r="AH119" s="388"/>
      <c r="AI119" s="388"/>
      <c r="AJ119" s="389"/>
      <c r="AK119" s="375" t="s">
        <v>114</v>
      </c>
      <c r="AL119" s="376"/>
      <c r="AM119" s="377"/>
      <c r="AN119" s="375" t="s">
        <v>313</v>
      </c>
      <c r="AO119" s="376"/>
      <c r="AP119" s="377"/>
      <c r="AQ119" s="375" t="s">
        <v>313</v>
      </c>
      <c r="AR119" s="376"/>
      <c r="AS119" s="377"/>
      <c r="AT119" s="348"/>
      <c r="AU119" s="349"/>
      <c r="AV119" s="350"/>
      <c r="AW119" s="387" t="s">
        <v>471</v>
      </c>
      <c r="AX119" s="388"/>
      <c r="AY119" s="389"/>
      <c r="AZ119" s="348"/>
      <c r="BA119" s="349"/>
      <c r="BB119" s="350"/>
      <c r="BC119" s="432" t="s">
        <v>478</v>
      </c>
      <c r="BD119" s="433"/>
      <c r="BE119" s="433"/>
      <c r="BF119" s="434"/>
      <c r="BG119" s="432" t="s">
        <v>487</v>
      </c>
      <c r="BH119" s="433"/>
      <c r="BI119" s="433"/>
      <c r="BJ119" s="434"/>
      <c r="BK119" s="387" t="s">
        <v>424</v>
      </c>
      <c r="BL119" s="388"/>
      <c r="BM119" s="388"/>
      <c r="BN119" s="389"/>
      <c r="BO119" s="387" t="s">
        <v>424</v>
      </c>
      <c r="BP119" s="388"/>
      <c r="BQ119" s="388"/>
      <c r="BR119" s="389"/>
      <c r="BS119" s="565" t="s">
        <v>424</v>
      </c>
      <c r="BT119" s="566"/>
      <c r="BU119" s="566"/>
      <c r="BV119" s="567"/>
    </row>
    <row r="120" spans="2:74" ht="17" customHeight="1">
      <c r="B120" s="227"/>
      <c r="C120" s="330">
        <v>109</v>
      </c>
      <c r="D120" s="331"/>
      <c r="E120" s="331"/>
      <c r="F120" s="371" t="s">
        <v>330</v>
      </c>
      <c r="G120" s="372"/>
      <c r="H120" s="372"/>
      <c r="I120" s="372"/>
      <c r="J120" s="373"/>
      <c r="K120" s="372" t="s">
        <v>313</v>
      </c>
      <c r="L120" s="372"/>
      <c r="M120" s="372"/>
      <c r="N120" s="372"/>
      <c r="O120" s="373"/>
      <c r="P120" s="371" t="s">
        <v>314</v>
      </c>
      <c r="Q120" s="372"/>
      <c r="R120" s="372"/>
      <c r="S120" s="372"/>
      <c r="T120" s="373"/>
      <c r="U120" s="325" t="s">
        <v>315</v>
      </c>
      <c r="V120" s="326"/>
      <c r="W120" s="326"/>
      <c r="X120" s="326"/>
      <c r="Y120" s="327"/>
      <c r="Z120" s="325" t="s">
        <v>316</v>
      </c>
      <c r="AA120" s="326"/>
      <c r="AB120" s="326"/>
      <c r="AC120" s="326"/>
      <c r="AD120" s="327"/>
      <c r="AE120" s="387" t="s">
        <v>459</v>
      </c>
      <c r="AF120" s="388"/>
      <c r="AG120" s="388"/>
      <c r="AH120" s="388"/>
      <c r="AI120" s="388"/>
      <c r="AJ120" s="389"/>
      <c r="AK120" s="330" t="s">
        <v>114</v>
      </c>
      <c r="AL120" s="331"/>
      <c r="AM120" s="332"/>
      <c r="AN120" s="330" t="s">
        <v>313</v>
      </c>
      <c r="AO120" s="331"/>
      <c r="AP120" s="332"/>
      <c r="AQ120" s="330" t="s">
        <v>313</v>
      </c>
      <c r="AR120" s="331"/>
      <c r="AS120" s="332"/>
      <c r="AT120" s="348"/>
      <c r="AU120" s="349"/>
      <c r="AV120" s="350"/>
      <c r="AW120" s="387" t="s">
        <v>471</v>
      </c>
      <c r="AX120" s="388"/>
      <c r="AY120" s="389"/>
      <c r="AZ120" s="348"/>
      <c r="BA120" s="349"/>
      <c r="BB120" s="350"/>
      <c r="BC120" s="432" t="s">
        <v>479</v>
      </c>
      <c r="BD120" s="433"/>
      <c r="BE120" s="433"/>
      <c r="BF120" s="434"/>
      <c r="BG120" s="432" t="s">
        <v>488</v>
      </c>
      <c r="BH120" s="433"/>
      <c r="BI120" s="433"/>
      <c r="BJ120" s="434"/>
      <c r="BK120" s="387" t="s">
        <v>424</v>
      </c>
      <c r="BL120" s="388"/>
      <c r="BM120" s="388"/>
      <c r="BN120" s="389"/>
      <c r="BO120" s="565" t="s">
        <v>424</v>
      </c>
      <c r="BP120" s="566"/>
      <c r="BQ120" s="566"/>
      <c r="BR120" s="567"/>
      <c r="BS120" s="565" t="s">
        <v>424</v>
      </c>
      <c r="BT120" s="566"/>
      <c r="BU120" s="566"/>
      <c r="BV120" s="567"/>
    </row>
    <row r="121" spans="2:74" ht="17" customHeight="1">
      <c r="B121" s="240"/>
      <c r="C121" s="378">
        <v>110</v>
      </c>
      <c r="D121" s="379"/>
      <c r="E121" s="380"/>
      <c r="F121" s="402" t="s">
        <v>331</v>
      </c>
      <c r="G121" s="403"/>
      <c r="H121" s="403"/>
      <c r="I121" s="403"/>
      <c r="J121" s="404"/>
      <c r="K121" s="322" t="s">
        <v>313</v>
      </c>
      <c r="L121" s="323"/>
      <c r="M121" s="323"/>
      <c r="N121" s="323"/>
      <c r="O121" s="324"/>
      <c r="P121" s="562" t="s">
        <v>335</v>
      </c>
      <c r="Q121" s="563"/>
      <c r="R121" s="563"/>
      <c r="S121" s="563"/>
      <c r="T121" s="564"/>
      <c r="U121" s="322" t="s">
        <v>186</v>
      </c>
      <c r="V121" s="323"/>
      <c r="W121" s="323"/>
      <c r="X121" s="323"/>
      <c r="Y121" s="324"/>
      <c r="Z121" s="322" t="s">
        <v>193</v>
      </c>
      <c r="AA121" s="323"/>
      <c r="AB121" s="323"/>
      <c r="AC121" s="323"/>
      <c r="AD121" s="324"/>
      <c r="AE121" s="241" t="s">
        <v>460</v>
      </c>
      <c r="AF121" s="242"/>
      <c r="AG121" s="242"/>
      <c r="AH121" s="242"/>
      <c r="AI121" s="242"/>
      <c r="AJ121" s="243"/>
      <c r="AK121" s="378" t="s">
        <v>114</v>
      </c>
      <c r="AL121" s="379"/>
      <c r="AM121" s="380"/>
      <c r="AN121" s="378" t="s">
        <v>313</v>
      </c>
      <c r="AO121" s="379"/>
      <c r="AP121" s="380"/>
      <c r="AQ121" s="378" t="s">
        <v>313</v>
      </c>
      <c r="AR121" s="379"/>
      <c r="AS121" s="380"/>
      <c r="AT121" s="348"/>
      <c r="AU121" s="349"/>
      <c r="AV121" s="350"/>
      <c r="AW121" s="241" t="s">
        <v>497</v>
      </c>
      <c r="AX121" s="242"/>
      <c r="AY121" s="243"/>
      <c r="AZ121" s="348"/>
      <c r="BA121" s="349"/>
      <c r="BB121" s="350"/>
      <c r="BC121" s="571" t="s">
        <v>494</v>
      </c>
      <c r="BD121" s="572"/>
      <c r="BE121" s="572"/>
      <c r="BF121" s="573"/>
      <c r="BG121" s="571" t="s">
        <v>489</v>
      </c>
      <c r="BH121" s="572"/>
      <c r="BI121" s="572"/>
      <c r="BJ121" s="573"/>
      <c r="BK121" s="588" t="s">
        <v>424</v>
      </c>
      <c r="BL121" s="589"/>
      <c r="BM121" s="589"/>
      <c r="BN121" s="590"/>
      <c r="BO121" s="241" t="s">
        <v>424</v>
      </c>
      <c r="BP121" s="242"/>
      <c r="BQ121" s="242"/>
      <c r="BR121" s="243"/>
      <c r="BS121" s="241" t="s">
        <v>424</v>
      </c>
      <c r="BT121" s="242"/>
      <c r="BU121" s="242"/>
      <c r="BV121" s="243"/>
    </row>
    <row r="122" spans="2:74" ht="17" customHeight="1">
      <c r="B122" s="239">
        <v>3</v>
      </c>
      <c r="C122" s="354">
        <v>111</v>
      </c>
      <c r="D122" s="355"/>
      <c r="E122" s="356"/>
      <c r="F122" s="357" t="s">
        <v>332</v>
      </c>
      <c r="G122" s="358"/>
      <c r="H122" s="358"/>
      <c r="I122" s="358"/>
      <c r="J122" s="359"/>
      <c r="K122" s="357" t="s">
        <v>313</v>
      </c>
      <c r="L122" s="358"/>
      <c r="M122" s="358"/>
      <c r="N122" s="358"/>
      <c r="O122" s="359"/>
      <c r="P122" s="357" t="s">
        <v>214</v>
      </c>
      <c r="Q122" s="358"/>
      <c r="R122" s="358"/>
      <c r="S122" s="358"/>
      <c r="T122" s="359"/>
      <c r="U122" s="357" t="s">
        <v>186</v>
      </c>
      <c r="V122" s="358"/>
      <c r="W122" s="358"/>
      <c r="X122" s="358"/>
      <c r="Y122" s="359"/>
      <c r="Z122" s="357" t="s">
        <v>193</v>
      </c>
      <c r="AA122" s="358"/>
      <c r="AB122" s="358"/>
      <c r="AC122" s="358"/>
      <c r="AD122" s="359"/>
      <c r="AE122" s="369" t="s">
        <v>465</v>
      </c>
      <c r="AF122" s="370"/>
      <c r="AG122" s="370"/>
      <c r="AH122" s="370"/>
      <c r="AI122" s="370"/>
      <c r="AJ122" s="370"/>
      <c r="AK122" s="354" t="s">
        <v>114</v>
      </c>
      <c r="AL122" s="355"/>
      <c r="AM122" s="356"/>
      <c r="AN122" s="354" t="s">
        <v>114</v>
      </c>
      <c r="AO122" s="355"/>
      <c r="AP122" s="356"/>
      <c r="AQ122" s="354" t="s">
        <v>114</v>
      </c>
      <c r="AR122" s="355"/>
      <c r="AS122" s="356"/>
      <c r="AT122" s="348"/>
      <c r="AU122" s="349"/>
      <c r="AV122" s="350"/>
      <c r="AW122" s="224" t="s">
        <v>469</v>
      </c>
      <c r="AX122" s="225"/>
      <c r="AY122" s="226"/>
      <c r="AZ122" s="348"/>
      <c r="BA122" s="349"/>
      <c r="BB122" s="350"/>
      <c r="BC122" s="550" t="s">
        <v>511</v>
      </c>
      <c r="BD122" s="551"/>
      <c r="BE122" s="551"/>
      <c r="BF122" s="552"/>
      <c r="BG122" s="550" t="s">
        <v>512</v>
      </c>
      <c r="BH122" s="551"/>
      <c r="BI122" s="551"/>
      <c r="BJ122" s="552"/>
      <c r="BK122" s="408" t="s">
        <v>424</v>
      </c>
      <c r="BL122" s="409"/>
      <c r="BM122" s="409"/>
      <c r="BN122" s="410"/>
      <c r="BO122" s="408" t="s">
        <v>424</v>
      </c>
      <c r="BP122" s="409"/>
      <c r="BQ122" s="409"/>
      <c r="BR122" s="410"/>
      <c r="BS122" s="387" t="s">
        <v>424</v>
      </c>
      <c r="BT122" s="388"/>
      <c r="BU122" s="388"/>
      <c r="BV122" s="389"/>
    </row>
    <row r="123" spans="2:74" ht="17" customHeight="1">
      <c r="B123" s="227"/>
      <c r="C123" s="330">
        <v>112</v>
      </c>
      <c r="D123" s="331"/>
      <c r="E123" s="331"/>
      <c r="F123" s="371" t="s">
        <v>333</v>
      </c>
      <c r="G123" s="372"/>
      <c r="H123" s="372"/>
      <c r="I123" s="372"/>
      <c r="J123" s="372"/>
      <c r="K123" s="371" t="s">
        <v>313</v>
      </c>
      <c r="L123" s="372"/>
      <c r="M123" s="372"/>
      <c r="N123" s="372"/>
      <c r="O123" s="373"/>
      <c r="P123" s="417" t="s">
        <v>214</v>
      </c>
      <c r="Q123" s="418"/>
      <c r="R123" s="418"/>
      <c r="S123" s="418"/>
      <c r="T123" s="419"/>
      <c r="U123" s="417" t="s">
        <v>186</v>
      </c>
      <c r="V123" s="418"/>
      <c r="W123" s="418"/>
      <c r="X123" s="418"/>
      <c r="Y123" s="419"/>
      <c r="Z123" s="366" t="s">
        <v>274</v>
      </c>
      <c r="AA123" s="367"/>
      <c r="AB123" s="367"/>
      <c r="AC123" s="367"/>
      <c r="AD123" s="368"/>
      <c r="AE123" s="374" t="s">
        <v>466</v>
      </c>
      <c r="AF123" s="227"/>
      <c r="AG123" s="227"/>
      <c r="AH123" s="227"/>
      <c r="AI123" s="227"/>
      <c r="AJ123" s="227"/>
      <c r="AK123" s="375" t="s">
        <v>114</v>
      </c>
      <c r="AL123" s="376"/>
      <c r="AM123" s="377"/>
      <c r="AN123" s="375" t="s">
        <v>313</v>
      </c>
      <c r="AO123" s="376"/>
      <c r="AP123" s="377"/>
      <c r="AQ123" s="375" t="s">
        <v>313</v>
      </c>
      <c r="AR123" s="376"/>
      <c r="AS123" s="377"/>
      <c r="AT123" s="348"/>
      <c r="AU123" s="349"/>
      <c r="AV123" s="350"/>
      <c r="AW123" s="342" t="s">
        <v>470</v>
      </c>
      <c r="AX123" s="343"/>
      <c r="AY123" s="344"/>
      <c r="AZ123" s="348"/>
      <c r="BA123" s="349"/>
      <c r="BB123" s="350"/>
      <c r="BC123" s="342" t="s">
        <v>495</v>
      </c>
      <c r="BD123" s="343"/>
      <c r="BE123" s="343"/>
      <c r="BF123" s="344"/>
      <c r="BG123" s="342" t="s">
        <v>495</v>
      </c>
      <c r="BH123" s="343"/>
      <c r="BI123" s="343"/>
      <c r="BJ123" s="344"/>
      <c r="BK123" s="342" t="s">
        <v>424</v>
      </c>
      <c r="BL123" s="343"/>
      <c r="BM123" s="343"/>
      <c r="BN123" s="344"/>
      <c r="BO123" s="342" t="s">
        <v>424</v>
      </c>
      <c r="BP123" s="343"/>
      <c r="BQ123" s="343"/>
      <c r="BR123" s="344"/>
      <c r="BS123" s="342" t="s">
        <v>424</v>
      </c>
      <c r="BT123" s="343"/>
      <c r="BU123" s="343"/>
      <c r="BV123" s="344"/>
    </row>
    <row r="124" spans="2:74" ht="17" customHeight="1">
      <c r="B124" s="227"/>
      <c r="C124" s="330">
        <v>113</v>
      </c>
      <c r="D124" s="331"/>
      <c r="E124" s="332"/>
      <c r="F124" s="371" t="s">
        <v>334</v>
      </c>
      <c r="G124" s="372"/>
      <c r="H124" s="372"/>
      <c r="I124" s="372"/>
      <c r="J124" s="373"/>
      <c r="K124" s="371" t="s">
        <v>313</v>
      </c>
      <c r="L124" s="372"/>
      <c r="M124" s="372"/>
      <c r="N124" s="372"/>
      <c r="O124" s="373"/>
      <c r="P124" s="371" t="s">
        <v>314</v>
      </c>
      <c r="Q124" s="372"/>
      <c r="R124" s="372"/>
      <c r="S124" s="372"/>
      <c r="T124" s="373"/>
      <c r="U124" s="325" t="s">
        <v>315</v>
      </c>
      <c r="V124" s="326"/>
      <c r="W124" s="326"/>
      <c r="X124" s="326"/>
      <c r="Y124" s="327"/>
      <c r="Z124" s="325" t="s">
        <v>316</v>
      </c>
      <c r="AA124" s="326"/>
      <c r="AB124" s="326"/>
      <c r="AC124" s="326"/>
      <c r="AD124" s="327"/>
      <c r="AE124" s="328" t="s">
        <v>467</v>
      </c>
      <c r="AF124" s="329"/>
      <c r="AG124" s="329"/>
      <c r="AH124" s="329"/>
      <c r="AI124" s="329"/>
      <c r="AJ124" s="329"/>
      <c r="AK124" s="330" t="s">
        <v>114</v>
      </c>
      <c r="AL124" s="331"/>
      <c r="AM124" s="332"/>
      <c r="AN124" s="330" t="s">
        <v>313</v>
      </c>
      <c r="AO124" s="331"/>
      <c r="AP124" s="332"/>
      <c r="AQ124" s="330" t="s">
        <v>313</v>
      </c>
      <c r="AR124" s="331"/>
      <c r="AS124" s="332"/>
      <c r="AT124" s="348"/>
      <c r="AU124" s="349"/>
      <c r="AV124" s="350"/>
      <c r="AW124" s="387" t="s">
        <v>471</v>
      </c>
      <c r="AX124" s="388"/>
      <c r="AY124" s="389"/>
      <c r="AZ124" s="348"/>
      <c r="BA124" s="349"/>
      <c r="BB124" s="350"/>
      <c r="BC124" s="432" t="s">
        <v>513</v>
      </c>
      <c r="BD124" s="433"/>
      <c r="BE124" s="433"/>
      <c r="BF124" s="434"/>
      <c r="BG124" s="432" t="s">
        <v>514</v>
      </c>
      <c r="BH124" s="433"/>
      <c r="BI124" s="433"/>
      <c r="BJ124" s="434"/>
      <c r="BK124" s="387" t="s">
        <v>424</v>
      </c>
      <c r="BL124" s="388"/>
      <c r="BM124" s="388"/>
      <c r="BN124" s="389"/>
      <c r="BO124" s="387" t="s">
        <v>458</v>
      </c>
      <c r="BP124" s="388"/>
      <c r="BQ124" s="388"/>
      <c r="BR124" s="389"/>
      <c r="BS124" s="387" t="s">
        <v>510</v>
      </c>
      <c r="BT124" s="388"/>
      <c r="BU124" s="388"/>
      <c r="BV124" s="389"/>
    </row>
    <row r="125" spans="2:74" ht="17" customHeight="1">
      <c r="B125" s="240"/>
      <c r="C125" s="405">
        <v>114</v>
      </c>
      <c r="D125" s="406"/>
      <c r="E125" s="407"/>
      <c r="F125" s="402" t="s">
        <v>776</v>
      </c>
      <c r="G125" s="403"/>
      <c r="H125" s="403"/>
      <c r="I125" s="403"/>
      <c r="J125" s="404"/>
      <c r="K125" s="559" t="s">
        <v>313</v>
      </c>
      <c r="L125" s="560"/>
      <c r="M125" s="560"/>
      <c r="N125" s="560"/>
      <c r="O125" s="561"/>
      <c r="P125" s="585" t="s">
        <v>335</v>
      </c>
      <c r="Q125" s="586"/>
      <c r="R125" s="586"/>
      <c r="S125" s="586"/>
      <c r="T125" s="587"/>
      <c r="U125" s="322" t="s">
        <v>186</v>
      </c>
      <c r="V125" s="323"/>
      <c r="W125" s="323"/>
      <c r="X125" s="323"/>
      <c r="Y125" s="324"/>
      <c r="Z125" s="322" t="s">
        <v>193</v>
      </c>
      <c r="AA125" s="323"/>
      <c r="AB125" s="323"/>
      <c r="AC125" s="323"/>
      <c r="AD125" s="324"/>
      <c r="AE125" s="603" t="s">
        <v>468</v>
      </c>
      <c r="AF125" s="604"/>
      <c r="AG125" s="604"/>
      <c r="AH125" s="604"/>
      <c r="AI125" s="604"/>
      <c r="AJ125" s="604"/>
      <c r="AK125" s="556" t="s">
        <v>114</v>
      </c>
      <c r="AL125" s="557"/>
      <c r="AM125" s="558"/>
      <c r="AN125" s="556" t="s">
        <v>313</v>
      </c>
      <c r="AO125" s="557"/>
      <c r="AP125" s="558"/>
      <c r="AQ125" s="556" t="s">
        <v>313</v>
      </c>
      <c r="AR125" s="557"/>
      <c r="AS125" s="558"/>
      <c r="AT125" s="348"/>
      <c r="AU125" s="349"/>
      <c r="AV125" s="350"/>
      <c r="AW125" s="333" t="s">
        <v>472</v>
      </c>
      <c r="AX125" s="334"/>
      <c r="AY125" s="335"/>
      <c r="AZ125" s="348"/>
      <c r="BA125" s="349"/>
      <c r="BB125" s="350"/>
      <c r="BC125" s="336" t="s">
        <v>495</v>
      </c>
      <c r="BD125" s="337"/>
      <c r="BE125" s="337"/>
      <c r="BF125" s="338"/>
      <c r="BG125" s="336" t="s">
        <v>495</v>
      </c>
      <c r="BH125" s="337"/>
      <c r="BI125" s="337"/>
      <c r="BJ125" s="338"/>
      <c r="BK125" s="336" t="s">
        <v>424</v>
      </c>
      <c r="BL125" s="337"/>
      <c r="BM125" s="337"/>
      <c r="BN125" s="338"/>
      <c r="BO125" s="336" t="s">
        <v>424</v>
      </c>
      <c r="BP125" s="337"/>
      <c r="BQ125" s="337"/>
      <c r="BR125" s="338"/>
      <c r="BS125" s="336" t="s">
        <v>424</v>
      </c>
      <c r="BT125" s="337"/>
      <c r="BU125" s="337"/>
      <c r="BV125" s="338"/>
    </row>
    <row r="126" spans="2:74" ht="17" customHeight="1">
      <c r="B126" s="239">
        <v>4</v>
      </c>
      <c r="C126" s="354">
        <v>115</v>
      </c>
      <c r="D126" s="355"/>
      <c r="E126" s="356"/>
      <c r="F126" s="357" t="s">
        <v>725</v>
      </c>
      <c r="G126" s="358"/>
      <c r="H126" s="358"/>
      <c r="I126" s="358"/>
      <c r="J126" s="359"/>
      <c r="K126" s="357" t="s">
        <v>114</v>
      </c>
      <c r="L126" s="358"/>
      <c r="M126" s="358"/>
      <c r="N126" s="358"/>
      <c r="O126" s="359"/>
      <c r="P126" s="360" t="s">
        <v>753</v>
      </c>
      <c r="Q126" s="361"/>
      <c r="R126" s="361"/>
      <c r="S126" s="361"/>
      <c r="T126" s="362"/>
      <c r="U126" s="363" t="s">
        <v>315</v>
      </c>
      <c r="V126" s="364"/>
      <c r="W126" s="364"/>
      <c r="X126" s="364"/>
      <c r="Y126" s="365"/>
      <c r="Z126" s="366" t="s">
        <v>720</v>
      </c>
      <c r="AA126" s="367"/>
      <c r="AB126" s="367"/>
      <c r="AC126" s="367"/>
      <c r="AD126" s="368"/>
      <c r="AE126" s="369" t="s">
        <v>728</v>
      </c>
      <c r="AF126" s="370"/>
      <c r="AG126" s="370"/>
      <c r="AH126" s="370"/>
      <c r="AI126" s="370"/>
      <c r="AJ126" s="370"/>
      <c r="AK126" s="354" t="s">
        <v>114</v>
      </c>
      <c r="AL126" s="355"/>
      <c r="AM126" s="356"/>
      <c r="AN126" s="354" t="s">
        <v>114</v>
      </c>
      <c r="AO126" s="355"/>
      <c r="AP126" s="356"/>
      <c r="AQ126" s="354" t="s">
        <v>114</v>
      </c>
      <c r="AR126" s="355"/>
      <c r="AS126" s="356"/>
      <c r="AT126" s="348"/>
      <c r="AU126" s="349"/>
      <c r="AV126" s="350"/>
      <c r="AW126" s="387" t="s">
        <v>471</v>
      </c>
      <c r="AX126" s="388"/>
      <c r="AY126" s="389"/>
      <c r="AZ126" s="348"/>
      <c r="BA126" s="349"/>
      <c r="BB126" s="350"/>
      <c r="BC126" s="432" t="s">
        <v>731</v>
      </c>
      <c r="BD126" s="433"/>
      <c r="BE126" s="433"/>
      <c r="BF126" s="434"/>
      <c r="BG126" s="432" t="s">
        <v>732</v>
      </c>
      <c r="BH126" s="433"/>
      <c r="BI126" s="433"/>
      <c r="BJ126" s="434"/>
      <c r="BK126" s="408" t="s">
        <v>766</v>
      </c>
      <c r="BL126" s="409"/>
      <c r="BM126" s="409"/>
      <c r="BN126" s="410"/>
      <c r="BO126" s="408" t="s">
        <v>737</v>
      </c>
      <c r="BP126" s="409"/>
      <c r="BQ126" s="409"/>
      <c r="BR126" s="410"/>
      <c r="BS126" s="408" t="s">
        <v>740</v>
      </c>
      <c r="BT126" s="409"/>
      <c r="BU126" s="409"/>
      <c r="BV126" s="410"/>
    </row>
    <row r="127" spans="2:74" ht="17" customHeight="1">
      <c r="B127" s="227"/>
      <c r="C127" s="330">
        <v>116</v>
      </c>
      <c r="D127" s="331"/>
      <c r="E127" s="331"/>
      <c r="F127" s="371" t="s">
        <v>726</v>
      </c>
      <c r="G127" s="372"/>
      <c r="H127" s="372"/>
      <c r="I127" s="372"/>
      <c r="J127" s="372"/>
      <c r="K127" s="371" t="s">
        <v>114</v>
      </c>
      <c r="L127" s="372"/>
      <c r="M127" s="372"/>
      <c r="N127" s="372"/>
      <c r="O127" s="373"/>
      <c r="P127" s="325" t="s">
        <v>754</v>
      </c>
      <c r="Q127" s="326"/>
      <c r="R127" s="326"/>
      <c r="S127" s="326"/>
      <c r="T127" s="327"/>
      <c r="U127" s="325" t="s">
        <v>721</v>
      </c>
      <c r="V127" s="326"/>
      <c r="W127" s="326"/>
      <c r="X127" s="326"/>
      <c r="Y127" s="327"/>
      <c r="Z127" s="325" t="s">
        <v>722</v>
      </c>
      <c r="AA127" s="326"/>
      <c r="AB127" s="326"/>
      <c r="AC127" s="326"/>
      <c r="AD127" s="327"/>
      <c r="AE127" s="374" t="s">
        <v>729</v>
      </c>
      <c r="AF127" s="227"/>
      <c r="AG127" s="227"/>
      <c r="AH127" s="227"/>
      <c r="AI127" s="227"/>
      <c r="AJ127" s="227"/>
      <c r="AK127" s="375" t="s">
        <v>114</v>
      </c>
      <c r="AL127" s="376"/>
      <c r="AM127" s="377"/>
      <c r="AN127" s="375" t="s">
        <v>114</v>
      </c>
      <c r="AO127" s="376"/>
      <c r="AP127" s="377"/>
      <c r="AQ127" s="375" t="s">
        <v>114</v>
      </c>
      <c r="AR127" s="376"/>
      <c r="AS127" s="377"/>
      <c r="AT127" s="348"/>
      <c r="AU127" s="349"/>
      <c r="AV127" s="350"/>
      <c r="AW127" s="387" t="s">
        <v>471</v>
      </c>
      <c r="AX127" s="388"/>
      <c r="AY127" s="389"/>
      <c r="AZ127" s="348"/>
      <c r="BA127" s="349"/>
      <c r="BB127" s="350"/>
      <c r="BC127" s="432" t="s">
        <v>734</v>
      </c>
      <c r="BD127" s="433"/>
      <c r="BE127" s="433"/>
      <c r="BF127" s="434"/>
      <c r="BG127" s="432" t="s">
        <v>733</v>
      </c>
      <c r="BH127" s="433"/>
      <c r="BI127" s="433"/>
      <c r="BJ127" s="434"/>
      <c r="BK127" s="435" t="s">
        <v>767</v>
      </c>
      <c r="BL127" s="436"/>
      <c r="BM127" s="436"/>
      <c r="BN127" s="437"/>
      <c r="BO127" s="387" t="s">
        <v>738</v>
      </c>
      <c r="BP127" s="388"/>
      <c r="BQ127" s="388"/>
      <c r="BR127" s="389"/>
      <c r="BS127" s="387" t="s">
        <v>741</v>
      </c>
      <c r="BT127" s="388"/>
      <c r="BU127" s="388"/>
      <c r="BV127" s="389"/>
    </row>
    <row r="128" spans="2:74" ht="17" customHeight="1">
      <c r="B128" s="240"/>
      <c r="C128" s="378">
        <v>117</v>
      </c>
      <c r="D128" s="379"/>
      <c r="E128" s="380"/>
      <c r="F128" s="322" t="s">
        <v>727</v>
      </c>
      <c r="G128" s="323"/>
      <c r="H128" s="323"/>
      <c r="I128" s="323"/>
      <c r="J128" s="324"/>
      <c r="K128" s="322" t="s">
        <v>114</v>
      </c>
      <c r="L128" s="323"/>
      <c r="M128" s="323"/>
      <c r="N128" s="323"/>
      <c r="O128" s="324"/>
      <c r="P128" s="325" t="s">
        <v>755</v>
      </c>
      <c r="Q128" s="326"/>
      <c r="R128" s="326"/>
      <c r="S128" s="326"/>
      <c r="T128" s="327"/>
      <c r="U128" s="325" t="s">
        <v>723</v>
      </c>
      <c r="V128" s="326"/>
      <c r="W128" s="326"/>
      <c r="X128" s="326"/>
      <c r="Y128" s="327"/>
      <c r="Z128" s="325" t="s">
        <v>724</v>
      </c>
      <c r="AA128" s="326"/>
      <c r="AB128" s="326"/>
      <c r="AC128" s="326"/>
      <c r="AD128" s="327"/>
      <c r="AE128" s="328" t="s">
        <v>730</v>
      </c>
      <c r="AF128" s="329"/>
      <c r="AG128" s="329"/>
      <c r="AH128" s="329"/>
      <c r="AI128" s="329"/>
      <c r="AJ128" s="329"/>
      <c r="AK128" s="330" t="s">
        <v>114</v>
      </c>
      <c r="AL128" s="331"/>
      <c r="AM128" s="332"/>
      <c r="AN128" s="330" t="s">
        <v>114</v>
      </c>
      <c r="AO128" s="331"/>
      <c r="AP128" s="332"/>
      <c r="AQ128" s="330" t="s">
        <v>114</v>
      </c>
      <c r="AR128" s="331"/>
      <c r="AS128" s="332"/>
      <c r="AT128" s="348"/>
      <c r="AU128" s="349"/>
      <c r="AV128" s="350"/>
      <c r="AW128" s="568" t="s">
        <v>471</v>
      </c>
      <c r="AX128" s="569"/>
      <c r="AY128" s="570"/>
      <c r="AZ128" s="348"/>
      <c r="BA128" s="349"/>
      <c r="BB128" s="350"/>
      <c r="BC128" s="571" t="s">
        <v>735</v>
      </c>
      <c r="BD128" s="572"/>
      <c r="BE128" s="572"/>
      <c r="BF128" s="573"/>
      <c r="BG128" s="571" t="s">
        <v>736</v>
      </c>
      <c r="BH128" s="572"/>
      <c r="BI128" s="572"/>
      <c r="BJ128" s="573"/>
      <c r="BK128" s="568" t="s">
        <v>768</v>
      </c>
      <c r="BL128" s="569"/>
      <c r="BM128" s="569"/>
      <c r="BN128" s="570"/>
      <c r="BO128" s="241" t="s">
        <v>739</v>
      </c>
      <c r="BP128" s="242"/>
      <c r="BQ128" s="242"/>
      <c r="BR128" s="243"/>
      <c r="BS128" s="241" t="s">
        <v>742</v>
      </c>
      <c r="BT128" s="242"/>
      <c r="BU128" s="242"/>
      <c r="BV128" s="243"/>
    </row>
    <row r="129" spans="2:74" ht="17" customHeight="1">
      <c r="B129" s="239">
        <f>B126+1</f>
        <v>5</v>
      </c>
      <c r="C129" s="354">
        <v>115</v>
      </c>
      <c r="D129" s="355"/>
      <c r="E129" s="356"/>
      <c r="F129" s="357" t="s">
        <v>725</v>
      </c>
      <c r="G129" s="358"/>
      <c r="H129" s="358"/>
      <c r="I129" s="358"/>
      <c r="J129" s="359"/>
      <c r="K129" s="357" t="s">
        <v>114</v>
      </c>
      <c r="L129" s="358"/>
      <c r="M129" s="358"/>
      <c r="N129" s="358"/>
      <c r="O129" s="359"/>
      <c r="P129" s="360" t="s">
        <v>753</v>
      </c>
      <c r="Q129" s="361"/>
      <c r="R129" s="361"/>
      <c r="S129" s="361"/>
      <c r="T129" s="362"/>
      <c r="U129" s="363" t="s">
        <v>315</v>
      </c>
      <c r="V129" s="364"/>
      <c r="W129" s="364"/>
      <c r="X129" s="364"/>
      <c r="Y129" s="365"/>
      <c r="Z129" s="366" t="s">
        <v>720</v>
      </c>
      <c r="AA129" s="367"/>
      <c r="AB129" s="367"/>
      <c r="AC129" s="367"/>
      <c r="AD129" s="368"/>
      <c r="AE129" s="369" t="s">
        <v>728</v>
      </c>
      <c r="AF129" s="370"/>
      <c r="AG129" s="370"/>
      <c r="AH129" s="370"/>
      <c r="AI129" s="370"/>
      <c r="AJ129" s="370"/>
      <c r="AK129" s="354" t="s">
        <v>114</v>
      </c>
      <c r="AL129" s="355"/>
      <c r="AM129" s="356"/>
      <c r="AN129" s="354" t="s">
        <v>114</v>
      </c>
      <c r="AO129" s="355"/>
      <c r="AP129" s="356"/>
      <c r="AQ129" s="354" t="s">
        <v>114</v>
      </c>
      <c r="AR129" s="355"/>
      <c r="AS129" s="356"/>
      <c r="AT129" s="348"/>
      <c r="AU129" s="349"/>
      <c r="AV129" s="350"/>
      <c r="AW129" s="342" t="s">
        <v>470</v>
      </c>
      <c r="AX129" s="343"/>
      <c r="AY129" s="344"/>
      <c r="AZ129" s="348"/>
      <c r="BA129" s="349"/>
      <c r="BB129" s="350"/>
      <c r="BC129" s="339" t="s">
        <v>495</v>
      </c>
      <c r="BD129" s="340"/>
      <c r="BE129" s="340"/>
      <c r="BF129" s="341"/>
      <c r="BG129" s="339" t="s">
        <v>495</v>
      </c>
      <c r="BH129" s="340"/>
      <c r="BI129" s="340"/>
      <c r="BJ129" s="341"/>
      <c r="BK129" s="339" t="s">
        <v>424</v>
      </c>
      <c r="BL129" s="340"/>
      <c r="BM129" s="340"/>
      <c r="BN129" s="341"/>
      <c r="BO129" s="339" t="s">
        <v>424</v>
      </c>
      <c r="BP129" s="340"/>
      <c r="BQ129" s="340"/>
      <c r="BR129" s="341"/>
      <c r="BS129" s="339" t="s">
        <v>424</v>
      </c>
      <c r="BT129" s="340"/>
      <c r="BU129" s="340"/>
      <c r="BV129" s="341"/>
    </row>
    <row r="130" spans="2:74" ht="17" customHeight="1">
      <c r="B130" s="227"/>
      <c r="C130" s="330">
        <v>116</v>
      </c>
      <c r="D130" s="331"/>
      <c r="E130" s="331"/>
      <c r="F130" s="371" t="s">
        <v>726</v>
      </c>
      <c r="G130" s="372"/>
      <c r="H130" s="372"/>
      <c r="I130" s="372"/>
      <c r="J130" s="372"/>
      <c r="K130" s="371" t="s">
        <v>114</v>
      </c>
      <c r="L130" s="372"/>
      <c r="M130" s="372"/>
      <c r="N130" s="372"/>
      <c r="O130" s="373"/>
      <c r="P130" s="325" t="s">
        <v>754</v>
      </c>
      <c r="Q130" s="326"/>
      <c r="R130" s="326"/>
      <c r="S130" s="326"/>
      <c r="T130" s="327"/>
      <c r="U130" s="325" t="s">
        <v>721</v>
      </c>
      <c r="V130" s="326"/>
      <c r="W130" s="326"/>
      <c r="X130" s="326"/>
      <c r="Y130" s="327"/>
      <c r="Z130" s="325" t="s">
        <v>722</v>
      </c>
      <c r="AA130" s="326"/>
      <c r="AB130" s="326"/>
      <c r="AC130" s="326"/>
      <c r="AD130" s="327"/>
      <c r="AE130" s="374" t="s">
        <v>729</v>
      </c>
      <c r="AF130" s="227"/>
      <c r="AG130" s="227"/>
      <c r="AH130" s="227"/>
      <c r="AI130" s="227"/>
      <c r="AJ130" s="227"/>
      <c r="AK130" s="375" t="s">
        <v>114</v>
      </c>
      <c r="AL130" s="376"/>
      <c r="AM130" s="377"/>
      <c r="AN130" s="375" t="s">
        <v>114</v>
      </c>
      <c r="AO130" s="376"/>
      <c r="AP130" s="377"/>
      <c r="AQ130" s="375" t="s">
        <v>114</v>
      </c>
      <c r="AR130" s="376"/>
      <c r="AS130" s="377"/>
      <c r="AT130" s="348"/>
      <c r="AU130" s="349"/>
      <c r="AV130" s="350"/>
      <c r="AW130" s="342" t="s">
        <v>1101</v>
      </c>
      <c r="AX130" s="343"/>
      <c r="AY130" s="344"/>
      <c r="AZ130" s="348"/>
      <c r="BA130" s="349"/>
      <c r="BB130" s="350"/>
      <c r="BC130" s="342" t="s">
        <v>495</v>
      </c>
      <c r="BD130" s="343"/>
      <c r="BE130" s="343"/>
      <c r="BF130" s="344"/>
      <c r="BG130" s="342" t="s">
        <v>495</v>
      </c>
      <c r="BH130" s="343"/>
      <c r="BI130" s="343"/>
      <c r="BJ130" s="344"/>
      <c r="BK130" s="342" t="s">
        <v>424</v>
      </c>
      <c r="BL130" s="343"/>
      <c r="BM130" s="343"/>
      <c r="BN130" s="344"/>
      <c r="BO130" s="342" t="s">
        <v>424</v>
      </c>
      <c r="BP130" s="343"/>
      <c r="BQ130" s="343"/>
      <c r="BR130" s="344"/>
      <c r="BS130" s="342" t="s">
        <v>424</v>
      </c>
      <c r="BT130" s="343"/>
      <c r="BU130" s="343"/>
      <c r="BV130" s="344"/>
    </row>
    <row r="131" spans="2:74" ht="17" customHeight="1">
      <c r="B131" s="240"/>
      <c r="C131" s="378">
        <v>117</v>
      </c>
      <c r="D131" s="379"/>
      <c r="E131" s="380"/>
      <c r="F131" s="322" t="s">
        <v>727</v>
      </c>
      <c r="G131" s="323"/>
      <c r="H131" s="323"/>
      <c r="I131" s="323"/>
      <c r="J131" s="324"/>
      <c r="K131" s="322" t="s">
        <v>114</v>
      </c>
      <c r="L131" s="323"/>
      <c r="M131" s="323"/>
      <c r="N131" s="323"/>
      <c r="O131" s="324"/>
      <c r="P131" s="325" t="s">
        <v>755</v>
      </c>
      <c r="Q131" s="326"/>
      <c r="R131" s="326"/>
      <c r="S131" s="326"/>
      <c r="T131" s="327"/>
      <c r="U131" s="325" t="s">
        <v>723</v>
      </c>
      <c r="V131" s="326"/>
      <c r="W131" s="326"/>
      <c r="X131" s="326"/>
      <c r="Y131" s="327"/>
      <c r="Z131" s="325" t="s">
        <v>724</v>
      </c>
      <c r="AA131" s="326"/>
      <c r="AB131" s="326"/>
      <c r="AC131" s="326"/>
      <c r="AD131" s="327"/>
      <c r="AE131" s="328" t="s">
        <v>730</v>
      </c>
      <c r="AF131" s="329"/>
      <c r="AG131" s="329"/>
      <c r="AH131" s="329"/>
      <c r="AI131" s="329"/>
      <c r="AJ131" s="329"/>
      <c r="AK131" s="330" t="s">
        <v>114</v>
      </c>
      <c r="AL131" s="331"/>
      <c r="AM131" s="332"/>
      <c r="AN131" s="330" t="s">
        <v>114</v>
      </c>
      <c r="AO131" s="331"/>
      <c r="AP131" s="332"/>
      <c r="AQ131" s="330" t="s">
        <v>114</v>
      </c>
      <c r="AR131" s="331"/>
      <c r="AS131" s="332"/>
      <c r="AT131" s="351"/>
      <c r="AU131" s="352"/>
      <c r="AV131" s="353"/>
      <c r="AW131" s="333" t="s">
        <v>472</v>
      </c>
      <c r="AX131" s="334"/>
      <c r="AY131" s="335"/>
      <c r="AZ131" s="351"/>
      <c r="BA131" s="352"/>
      <c r="BB131" s="353"/>
      <c r="BC131" s="336" t="s">
        <v>495</v>
      </c>
      <c r="BD131" s="337"/>
      <c r="BE131" s="337"/>
      <c r="BF131" s="338"/>
      <c r="BG131" s="336" t="s">
        <v>495</v>
      </c>
      <c r="BH131" s="337"/>
      <c r="BI131" s="337"/>
      <c r="BJ131" s="338"/>
      <c r="BK131" s="336" t="s">
        <v>424</v>
      </c>
      <c r="BL131" s="337"/>
      <c r="BM131" s="337"/>
      <c r="BN131" s="338"/>
      <c r="BO131" s="336" t="s">
        <v>424</v>
      </c>
      <c r="BP131" s="337"/>
      <c r="BQ131" s="337"/>
      <c r="BR131" s="338"/>
      <c r="BS131" s="336" t="s">
        <v>424</v>
      </c>
      <c r="BT131" s="337"/>
      <c r="BU131" s="337"/>
      <c r="BV131" s="338"/>
    </row>
    <row r="132" spans="2:74" ht="17" customHeight="1">
      <c r="K132" s="32"/>
      <c r="L132" s="32"/>
      <c r="M132" s="32"/>
      <c r="N132" s="32"/>
      <c r="O132" s="32"/>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32"/>
    </row>
    <row r="134" spans="2:74" ht="17" customHeight="1">
      <c r="B134" t="s">
        <v>410</v>
      </c>
      <c r="Q134" s="57"/>
      <c r="R134" s="57"/>
    </row>
    <row r="135" spans="2:74" ht="17" customHeight="1">
      <c r="B135" s="454" t="s">
        <v>56</v>
      </c>
      <c r="C135" s="50" t="s">
        <v>229</v>
      </c>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2"/>
    </row>
    <row r="136" spans="2:74" ht="17" customHeight="1">
      <c r="B136" s="454"/>
      <c r="C136" s="312" t="s">
        <v>62</v>
      </c>
      <c r="D136" s="313"/>
      <c r="E136" s="313"/>
      <c r="F136" s="314"/>
      <c r="G136" s="312" t="s">
        <v>198</v>
      </c>
      <c r="H136" s="313"/>
      <c r="I136" s="313"/>
      <c r="J136" s="314"/>
      <c r="K136" s="312" t="s">
        <v>200</v>
      </c>
      <c r="L136" s="313"/>
      <c r="M136" s="314"/>
      <c r="N136" s="458" t="s">
        <v>202</v>
      </c>
      <c r="O136" s="459"/>
      <c r="P136" s="459"/>
      <c r="Q136" s="459"/>
      <c r="R136" s="460"/>
      <c r="S136" s="458" t="s">
        <v>204</v>
      </c>
      <c r="T136" s="459"/>
      <c r="U136" s="459"/>
      <c r="V136" s="459"/>
      <c r="W136" s="460"/>
      <c r="X136" s="312" t="s">
        <v>205</v>
      </c>
      <c r="Y136" s="313"/>
      <c r="Z136" s="313"/>
      <c r="AA136" s="314"/>
      <c r="AB136" s="312" t="s">
        <v>208</v>
      </c>
      <c r="AC136" s="313"/>
      <c r="AD136" s="314"/>
      <c r="AE136" s="312" t="s">
        <v>182</v>
      </c>
      <c r="AF136" s="313"/>
      <c r="AG136" s="314"/>
      <c r="AH136" s="312" t="s">
        <v>189</v>
      </c>
      <c r="AI136" s="313"/>
      <c r="AJ136" s="314"/>
      <c r="AK136" s="312" t="s">
        <v>219</v>
      </c>
      <c r="AL136" s="313"/>
      <c r="AM136" s="314"/>
      <c r="AN136" s="312" t="s">
        <v>184</v>
      </c>
      <c r="AO136" s="313"/>
      <c r="AP136" s="314"/>
      <c r="AQ136" s="312" t="s">
        <v>221</v>
      </c>
      <c r="AR136" s="313"/>
      <c r="AS136" s="314"/>
      <c r="AT136" s="312" t="s">
        <v>223</v>
      </c>
      <c r="AU136" s="313"/>
      <c r="AV136" s="314"/>
      <c r="AW136" s="458" t="s">
        <v>225</v>
      </c>
      <c r="AX136" s="459"/>
      <c r="AY136" s="459"/>
      <c r="AZ136" s="459"/>
      <c r="BA136" s="460"/>
      <c r="BB136" s="312" t="s">
        <v>438</v>
      </c>
      <c r="BC136" s="313"/>
      <c r="BD136" s="314"/>
      <c r="BE136" s="312" t="s">
        <v>227</v>
      </c>
      <c r="BF136" s="313"/>
      <c r="BG136" s="314"/>
    </row>
    <row r="137" spans="2:74" ht="17" customHeight="1">
      <c r="B137" s="454"/>
      <c r="C137" s="309" t="s">
        <v>63</v>
      </c>
      <c r="D137" s="310"/>
      <c r="E137" s="310"/>
      <c r="F137" s="311"/>
      <c r="G137" s="309" t="s">
        <v>199</v>
      </c>
      <c r="H137" s="310"/>
      <c r="I137" s="310"/>
      <c r="J137" s="311"/>
      <c r="K137" s="309" t="s">
        <v>201</v>
      </c>
      <c r="L137" s="310"/>
      <c r="M137" s="311"/>
      <c r="N137" s="309" t="s">
        <v>203</v>
      </c>
      <c r="O137" s="310"/>
      <c r="P137" s="310"/>
      <c r="Q137" s="310"/>
      <c r="R137" s="311"/>
      <c r="S137" s="309" t="s">
        <v>234</v>
      </c>
      <c r="T137" s="310"/>
      <c r="U137" s="310"/>
      <c r="V137" s="310"/>
      <c r="W137" s="311"/>
      <c r="X137" s="309" t="s">
        <v>206</v>
      </c>
      <c r="Y137" s="310"/>
      <c r="Z137" s="310"/>
      <c r="AA137" s="311"/>
      <c r="AB137" s="309" t="s">
        <v>218</v>
      </c>
      <c r="AC137" s="310"/>
      <c r="AD137" s="311"/>
      <c r="AE137" s="309" t="s">
        <v>217</v>
      </c>
      <c r="AF137" s="310"/>
      <c r="AG137" s="311"/>
      <c r="AH137" s="309" t="s">
        <v>190</v>
      </c>
      <c r="AI137" s="310"/>
      <c r="AJ137" s="311"/>
      <c r="AK137" s="309" t="s">
        <v>442</v>
      </c>
      <c r="AL137" s="310"/>
      <c r="AM137" s="311"/>
      <c r="AN137" s="309" t="s">
        <v>185</v>
      </c>
      <c r="AO137" s="310"/>
      <c r="AP137" s="311"/>
      <c r="AQ137" s="309" t="s">
        <v>222</v>
      </c>
      <c r="AR137" s="310"/>
      <c r="AS137" s="311"/>
      <c r="AT137" s="309" t="s">
        <v>224</v>
      </c>
      <c r="AU137" s="310"/>
      <c r="AV137" s="311"/>
      <c r="AW137" s="309" t="s">
        <v>226</v>
      </c>
      <c r="AX137" s="310"/>
      <c r="AY137" s="310"/>
      <c r="AZ137" s="310"/>
      <c r="BA137" s="311"/>
      <c r="BB137" s="309" t="s">
        <v>437</v>
      </c>
      <c r="BC137" s="310"/>
      <c r="BD137" s="311"/>
      <c r="BE137" s="309" t="s">
        <v>228</v>
      </c>
      <c r="BF137" s="310"/>
      <c r="BG137" s="311"/>
    </row>
    <row r="138" spans="2:74" ht="17" customHeight="1">
      <c r="B138" s="40" t="s">
        <v>411</v>
      </c>
      <c r="C138" s="396" t="s">
        <v>68</v>
      </c>
      <c r="D138" s="397"/>
      <c r="E138" s="397"/>
      <c r="F138" s="398"/>
      <c r="G138" s="354" t="s">
        <v>230</v>
      </c>
      <c r="H138" s="355"/>
      <c r="I138" s="355"/>
      <c r="J138" s="356"/>
      <c r="K138" s="354">
        <v>101</v>
      </c>
      <c r="L138" s="355"/>
      <c r="M138" s="356"/>
      <c r="N138" s="357" t="s">
        <v>433</v>
      </c>
      <c r="O138" s="358"/>
      <c r="P138" s="358"/>
      <c r="Q138" s="358"/>
      <c r="R138" s="359"/>
      <c r="S138" s="584" t="s">
        <v>434</v>
      </c>
      <c r="T138" s="358"/>
      <c r="U138" s="358"/>
      <c r="V138" s="358"/>
      <c r="W138" s="359"/>
      <c r="X138" s="354" t="s">
        <v>435</v>
      </c>
      <c r="Y138" s="355"/>
      <c r="Z138" s="355"/>
      <c r="AA138" s="356"/>
      <c r="AB138" s="354">
        <v>10</v>
      </c>
      <c r="AC138" s="355"/>
      <c r="AD138" s="356"/>
      <c r="AE138" s="354">
        <v>10</v>
      </c>
      <c r="AF138" s="355"/>
      <c r="AG138" s="356"/>
      <c r="AH138" s="354">
        <v>101</v>
      </c>
      <c r="AI138" s="355"/>
      <c r="AJ138" s="356"/>
      <c r="AK138" s="354">
        <v>1</v>
      </c>
      <c r="AL138" s="355"/>
      <c r="AM138" s="356"/>
      <c r="AN138" s="354">
        <v>5</v>
      </c>
      <c r="AO138" s="355"/>
      <c r="AP138" s="356"/>
      <c r="AQ138" s="354">
        <v>0</v>
      </c>
      <c r="AR138" s="355"/>
      <c r="AS138" s="356"/>
      <c r="AT138" s="354" t="s">
        <v>436</v>
      </c>
      <c r="AU138" s="355"/>
      <c r="AV138" s="356"/>
      <c r="AW138" s="357" t="s">
        <v>408</v>
      </c>
      <c r="AX138" s="358"/>
      <c r="AY138" s="358"/>
      <c r="AZ138" s="358"/>
      <c r="BA138" s="359"/>
      <c r="BB138" s="354">
        <v>0</v>
      </c>
      <c r="BC138" s="355"/>
      <c r="BD138" s="356"/>
      <c r="BE138" s="357">
        <v>0</v>
      </c>
      <c r="BF138" s="358"/>
      <c r="BG138" s="359"/>
    </row>
    <row r="139" spans="2:74" ht="17" customHeight="1">
      <c r="B139" s="59" t="s">
        <v>425</v>
      </c>
      <c r="C139" s="381" t="s">
        <v>68</v>
      </c>
      <c r="D139" s="382"/>
      <c r="E139" s="382"/>
      <c r="F139" s="383"/>
      <c r="G139" s="330" t="s">
        <v>230</v>
      </c>
      <c r="H139" s="331"/>
      <c r="I139" s="331"/>
      <c r="J139" s="332"/>
      <c r="K139" s="330">
        <v>102</v>
      </c>
      <c r="L139" s="331"/>
      <c r="M139" s="332"/>
      <c r="N139" s="371" t="s">
        <v>407</v>
      </c>
      <c r="O139" s="372"/>
      <c r="P139" s="372"/>
      <c r="Q139" s="372"/>
      <c r="R139" s="373"/>
      <c r="S139" s="420" t="s">
        <v>439</v>
      </c>
      <c r="T139" s="372"/>
      <c r="U139" s="372"/>
      <c r="V139" s="372"/>
      <c r="W139" s="373"/>
      <c r="X139" s="330" t="s">
        <v>435</v>
      </c>
      <c r="Y139" s="331"/>
      <c r="Z139" s="331"/>
      <c r="AA139" s="332"/>
      <c r="AB139" s="330">
        <v>11</v>
      </c>
      <c r="AC139" s="331"/>
      <c r="AD139" s="332"/>
      <c r="AE139" s="330">
        <v>20</v>
      </c>
      <c r="AF139" s="331"/>
      <c r="AG139" s="332"/>
      <c r="AH139" s="330">
        <v>201</v>
      </c>
      <c r="AI139" s="331"/>
      <c r="AJ139" s="332"/>
      <c r="AK139" s="330">
        <v>0</v>
      </c>
      <c r="AL139" s="331"/>
      <c r="AM139" s="332"/>
      <c r="AN139" s="330">
        <v>6</v>
      </c>
      <c r="AO139" s="331"/>
      <c r="AP139" s="332"/>
      <c r="AQ139" s="330">
        <v>0</v>
      </c>
      <c r="AR139" s="331"/>
      <c r="AS139" s="332"/>
      <c r="AT139" s="330" t="s">
        <v>436</v>
      </c>
      <c r="AU139" s="331"/>
      <c r="AV139" s="332"/>
      <c r="AW139" s="371" t="s">
        <v>76</v>
      </c>
      <c r="AX139" s="372"/>
      <c r="AY139" s="372"/>
      <c r="AZ139" s="372"/>
      <c r="BA139" s="373"/>
      <c r="BB139" s="330">
        <v>0</v>
      </c>
      <c r="BC139" s="331"/>
      <c r="BD139" s="332"/>
      <c r="BE139" s="371">
        <v>1</v>
      </c>
      <c r="BF139" s="372"/>
      <c r="BG139" s="373"/>
    </row>
    <row r="140" spans="2:74" ht="17" customHeight="1">
      <c r="B140" s="41" t="s">
        <v>473</v>
      </c>
      <c r="C140" s="390" t="s">
        <v>68</v>
      </c>
      <c r="D140" s="391"/>
      <c r="E140" s="391"/>
      <c r="F140" s="392"/>
      <c r="G140" s="405" t="s">
        <v>230</v>
      </c>
      <c r="H140" s="406"/>
      <c r="I140" s="406"/>
      <c r="J140" s="407"/>
      <c r="K140" s="405">
        <v>103</v>
      </c>
      <c r="L140" s="406"/>
      <c r="M140" s="407"/>
      <c r="N140" s="402" t="s">
        <v>312</v>
      </c>
      <c r="O140" s="403"/>
      <c r="P140" s="403"/>
      <c r="Q140" s="403"/>
      <c r="R140" s="404"/>
      <c r="S140" s="431" t="s">
        <v>440</v>
      </c>
      <c r="T140" s="403"/>
      <c r="U140" s="403"/>
      <c r="V140" s="403"/>
      <c r="W140" s="404"/>
      <c r="X140" s="405" t="s">
        <v>435</v>
      </c>
      <c r="Y140" s="406"/>
      <c r="Z140" s="406"/>
      <c r="AA140" s="407"/>
      <c r="AB140" s="405">
        <v>11</v>
      </c>
      <c r="AC140" s="406"/>
      <c r="AD140" s="407"/>
      <c r="AE140" s="405">
        <v>30</v>
      </c>
      <c r="AF140" s="406"/>
      <c r="AG140" s="407"/>
      <c r="AH140" s="405">
        <v>302</v>
      </c>
      <c r="AI140" s="406"/>
      <c r="AJ140" s="407"/>
      <c r="AK140" s="405">
        <v>0</v>
      </c>
      <c r="AL140" s="406"/>
      <c r="AM140" s="407"/>
      <c r="AN140" s="405">
        <v>7</v>
      </c>
      <c r="AO140" s="406"/>
      <c r="AP140" s="407"/>
      <c r="AQ140" s="405">
        <v>0</v>
      </c>
      <c r="AR140" s="406"/>
      <c r="AS140" s="407"/>
      <c r="AT140" s="405" t="s">
        <v>436</v>
      </c>
      <c r="AU140" s="406"/>
      <c r="AV140" s="407"/>
      <c r="AW140" s="402" t="s">
        <v>441</v>
      </c>
      <c r="AX140" s="403"/>
      <c r="AY140" s="403"/>
      <c r="AZ140" s="403"/>
      <c r="BA140" s="404"/>
      <c r="BB140" s="405">
        <v>0</v>
      </c>
      <c r="BC140" s="406"/>
      <c r="BD140" s="407"/>
      <c r="BE140" s="402">
        <v>0</v>
      </c>
      <c r="BF140" s="403"/>
      <c r="BG140" s="404"/>
    </row>
    <row r="141" spans="2:74" ht="17" customHeight="1">
      <c r="B141" s="40" t="s">
        <v>474</v>
      </c>
      <c r="C141" s="580" t="s">
        <v>68</v>
      </c>
      <c r="D141" s="581"/>
      <c r="E141" s="581"/>
      <c r="F141" s="582"/>
      <c r="G141" s="502" t="s">
        <v>230</v>
      </c>
      <c r="H141" s="503"/>
      <c r="I141" s="503"/>
      <c r="J141" s="504"/>
      <c r="K141" s="502">
        <v>104</v>
      </c>
      <c r="L141" s="503"/>
      <c r="M141" s="504"/>
      <c r="N141" s="541" t="s">
        <v>319</v>
      </c>
      <c r="O141" s="542"/>
      <c r="P141" s="542"/>
      <c r="Q141" s="542"/>
      <c r="R141" s="543"/>
      <c r="S141" s="583" t="s">
        <v>501</v>
      </c>
      <c r="T141" s="542"/>
      <c r="U141" s="542"/>
      <c r="V141" s="542"/>
      <c r="W141" s="543"/>
      <c r="X141" s="502" t="s">
        <v>435</v>
      </c>
      <c r="Y141" s="503"/>
      <c r="Z141" s="503"/>
      <c r="AA141" s="504"/>
      <c r="AB141" s="502">
        <v>10</v>
      </c>
      <c r="AC141" s="503"/>
      <c r="AD141" s="504"/>
      <c r="AE141" s="502">
        <v>10</v>
      </c>
      <c r="AF141" s="503"/>
      <c r="AG141" s="504"/>
      <c r="AH141" s="574">
        <v>303</v>
      </c>
      <c r="AI141" s="575"/>
      <c r="AJ141" s="576"/>
      <c r="AK141" s="502" t="s">
        <v>431</v>
      </c>
      <c r="AL141" s="503"/>
      <c r="AM141" s="504"/>
      <c r="AN141" s="502">
        <v>5</v>
      </c>
      <c r="AO141" s="503"/>
      <c r="AP141" s="504"/>
      <c r="AQ141" s="502">
        <v>0</v>
      </c>
      <c r="AR141" s="503"/>
      <c r="AS141" s="504"/>
      <c r="AT141" s="502" t="s">
        <v>436</v>
      </c>
      <c r="AU141" s="503"/>
      <c r="AV141" s="504"/>
      <c r="AW141" s="541" t="s">
        <v>446</v>
      </c>
      <c r="AX141" s="542"/>
      <c r="AY141" s="542"/>
      <c r="AZ141" s="542"/>
      <c r="BA141" s="543"/>
      <c r="BB141" s="502">
        <v>0</v>
      </c>
      <c r="BC141" s="503"/>
      <c r="BD141" s="504"/>
      <c r="BE141" s="541" t="s">
        <v>448</v>
      </c>
      <c r="BF141" s="542"/>
      <c r="BG141" s="543"/>
    </row>
    <row r="142" spans="2:74" ht="17" customHeight="1">
      <c r="B142" s="63" t="s">
        <v>475</v>
      </c>
      <c r="C142" s="381" t="s">
        <v>68</v>
      </c>
      <c r="D142" s="382"/>
      <c r="E142" s="382"/>
      <c r="F142" s="383"/>
      <c r="G142" s="330" t="s">
        <v>230</v>
      </c>
      <c r="H142" s="331"/>
      <c r="I142" s="331"/>
      <c r="J142" s="332"/>
      <c r="K142" s="330">
        <v>105</v>
      </c>
      <c r="L142" s="331"/>
      <c r="M142" s="332"/>
      <c r="N142" s="371" t="s">
        <v>321</v>
      </c>
      <c r="O142" s="372"/>
      <c r="P142" s="372"/>
      <c r="Q142" s="372"/>
      <c r="R142" s="373"/>
      <c r="S142" s="420" t="s">
        <v>502</v>
      </c>
      <c r="T142" s="372"/>
      <c r="U142" s="372"/>
      <c r="V142" s="372"/>
      <c r="W142" s="373"/>
      <c r="X142" s="330" t="s">
        <v>435</v>
      </c>
      <c r="Y142" s="331"/>
      <c r="Z142" s="331"/>
      <c r="AA142" s="332"/>
      <c r="AB142" s="330">
        <v>10</v>
      </c>
      <c r="AC142" s="331"/>
      <c r="AD142" s="332"/>
      <c r="AE142" s="384">
        <v>31</v>
      </c>
      <c r="AF142" s="385"/>
      <c r="AG142" s="386"/>
      <c r="AH142" s="384">
        <v>304</v>
      </c>
      <c r="AI142" s="385"/>
      <c r="AJ142" s="386"/>
      <c r="AK142" s="330" t="s">
        <v>431</v>
      </c>
      <c r="AL142" s="331"/>
      <c r="AM142" s="332"/>
      <c r="AN142" s="330">
        <v>6</v>
      </c>
      <c r="AO142" s="331"/>
      <c r="AP142" s="332"/>
      <c r="AQ142" s="330">
        <v>0</v>
      </c>
      <c r="AR142" s="331"/>
      <c r="AS142" s="332"/>
      <c r="AT142" s="330" t="s">
        <v>436</v>
      </c>
      <c r="AU142" s="331"/>
      <c r="AV142" s="332"/>
      <c r="AW142" s="371" t="s">
        <v>447</v>
      </c>
      <c r="AX142" s="372"/>
      <c r="AY142" s="372"/>
      <c r="AZ142" s="372"/>
      <c r="BA142" s="373"/>
      <c r="BB142" s="330">
        <v>0</v>
      </c>
      <c r="BC142" s="331"/>
      <c r="BD142" s="332"/>
      <c r="BE142" s="371" t="s">
        <v>448</v>
      </c>
      <c r="BF142" s="372"/>
      <c r="BG142" s="373"/>
    </row>
    <row r="143" spans="2:74" ht="17" customHeight="1">
      <c r="B143" s="63" t="s">
        <v>476</v>
      </c>
      <c r="C143" s="438" t="s">
        <v>68</v>
      </c>
      <c r="D143" s="439"/>
      <c r="E143" s="439"/>
      <c r="F143" s="440"/>
      <c r="G143" s="375" t="s">
        <v>230</v>
      </c>
      <c r="H143" s="376"/>
      <c r="I143" s="376"/>
      <c r="J143" s="377"/>
      <c r="K143" s="375">
        <v>106</v>
      </c>
      <c r="L143" s="376"/>
      <c r="M143" s="377"/>
      <c r="N143" s="417" t="s">
        <v>327</v>
      </c>
      <c r="O143" s="418"/>
      <c r="P143" s="418"/>
      <c r="Q143" s="418"/>
      <c r="R143" s="419"/>
      <c r="S143" s="441" t="s">
        <v>503</v>
      </c>
      <c r="T143" s="418"/>
      <c r="U143" s="418"/>
      <c r="V143" s="418"/>
      <c r="W143" s="419"/>
      <c r="X143" s="375" t="s">
        <v>435</v>
      </c>
      <c r="Y143" s="376"/>
      <c r="Z143" s="376"/>
      <c r="AA143" s="377"/>
      <c r="AB143" s="442">
        <v>12</v>
      </c>
      <c r="AC143" s="443"/>
      <c r="AD143" s="444"/>
      <c r="AE143" s="375">
        <v>10</v>
      </c>
      <c r="AF143" s="376"/>
      <c r="AG143" s="377"/>
      <c r="AH143" s="375">
        <v>101</v>
      </c>
      <c r="AI143" s="376"/>
      <c r="AJ143" s="377"/>
      <c r="AK143" s="375" t="s">
        <v>431</v>
      </c>
      <c r="AL143" s="376"/>
      <c r="AM143" s="377"/>
      <c r="AN143" s="375">
        <v>7</v>
      </c>
      <c r="AO143" s="376"/>
      <c r="AP143" s="377"/>
      <c r="AQ143" s="375">
        <v>0</v>
      </c>
      <c r="AR143" s="376"/>
      <c r="AS143" s="377"/>
      <c r="AT143" s="375" t="s">
        <v>436</v>
      </c>
      <c r="AU143" s="376"/>
      <c r="AV143" s="377"/>
      <c r="AW143" s="417" t="s">
        <v>446</v>
      </c>
      <c r="AX143" s="418"/>
      <c r="AY143" s="418"/>
      <c r="AZ143" s="418"/>
      <c r="BA143" s="419"/>
      <c r="BB143" s="375">
        <v>0</v>
      </c>
      <c r="BC143" s="376"/>
      <c r="BD143" s="377"/>
      <c r="BE143" s="417" t="s">
        <v>448</v>
      </c>
      <c r="BF143" s="418"/>
      <c r="BG143" s="419"/>
    </row>
    <row r="144" spans="2:74" ht="17" customHeight="1">
      <c r="B144" s="59" t="s">
        <v>477</v>
      </c>
      <c r="C144" s="330" t="s">
        <v>444</v>
      </c>
      <c r="D144" s="331"/>
      <c r="E144" s="331"/>
      <c r="F144" s="332"/>
      <c r="G144" s="330" t="s">
        <v>444</v>
      </c>
      <c r="H144" s="331"/>
      <c r="I144" s="331"/>
      <c r="J144" s="332"/>
      <c r="K144" s="384" t="s">
        <v>445</v>
      </c>
      <c r="L144" s="385"/>
      <c r="M144" s="386"/>
      <c r="N144" s="371" t="s">
        <v>328</v>
      </c>
      <c r="O144" s="372"/>
      <c r="P144" s="372"/>
      <c r="Q144" s="372"/>
      <c r="R144" s="373"/>
      <c r="S144" s="577" t="s">
        <v>443</v>
      </c>
      <c r="T144" s="578"/>
      <c r="U144" s="578"/>
      <c r="V144" s="578"/>
      <c r="W144" s="579"/>
      <c r="X144" s="330" t="s">
        <v>435</v>
      </c>
      <c r="Y144" s="331"/>
      <c r="Z144" s="331"/>
      <c r="AA144" s="332"/>
      <c r="AB144" s="330">
        <v>10</v>
      </c>
      <c r="AC144" s="331"/>
      <c r="AD144" s="332"/>
      <c r="AE144" s="330">
        <v>20</v>
      </c>
      <c r="AF144" s="331"/>
      <c r="AG144" s="332"/>
      <c r="AH144" s="330">
        <v>201</v>
      </c>
      <c r="AI144" s="331"/>
      <c r="AJ144" s="332"/>
      <c r="AK144" s="330" t="s">
        <v>431</v>
      </c>
      <c r="AL144" s="331"/>
      <c r="AM144" s="332"/>
      <c r="AN144" s="330" t="s">
        <v>445</v>
      </c>
      <c r="AO144" s="331"/>
      <c r="AP144" s="332"/>
      <c r="AQ144" s="330" t="s">
        <v>432</v>
      </c>
      <c r="AR144" s="331"/>
      <c r="AS144" s="332"/>
      <c r="AT144" s="330" t="s">
        <v>444</v>
      </c>
      <c r="AU144" s="331"/>
      <c r="AV144" s="332"/>
      <c r="AW144" s="417" t="s">
        <v>446</v>
      </c>
      <c r="AX144" s="418"/>
      <c r="AY144" s="418"/>
      <c r="AZ144" s="418"/>
      <c r="BA144" s="419"/>
      <c r="BB144" s="330" t="s">
        <v>432</v>
      </c>
      <c r="BC144" s="331"/>
      <c r="BD144" s="332"/>
      <c r="BE144" s="371" t="s">
        <v>448</v>
      </c>
      <c r="BF144" s="372"/>
      <c r="BG144" s="373"/>
    </row>
    <row r="145" spans="2:59" ht="17" customHeight="1">
      <c r="B145" s="42" t="s">
        <v>478</v>
      </c>
      <c r="C145" s="438" t="s">
        <v>68</v>
      </c>
      <c r="D145" s="439"/>
      <c r="E145" s="439"/>
      <c r="F145" s="440"/>
      <c r="G145" s="375" t="s">
        <v>230</v>
      </c>
      <c r="H145" s="376"/>
      <c r="I145" s="376"/>
      <c r="J145" s="377"/>
      <c r="K145" s="375">
        <v>108</v>
      </c>
      <c r="L145" s="376"/>
      <c r="M145" s="377"/>
      <c r="N145" s="417" t="s">
        <v>329</v>
      </c>
      <c r="O145" s="418"/>
      <c r="P145" s="418"/>
      <c r="Q145" s="418"/>
      <c r="R145" s="419"/>
      <c r="S145" s="441" t="s">
        <v>504</v>
      </c>
      <c r="T145" s="418"/>
      <c r="U145" s="418"/>
      <c r="V145" s="418"/>
      <c r="W145" s="419"/>
      <c r="X145" s="375" t="s">
        <v>435</v>
      </c>
      <c r="Y145" s="376"/>
      <c r="Z145" s="376"/>
      <c r="AA145" s="377"/>
      <c r="AB145" s="375">
        <v>10</v>
      </c>
      <c r="AC145" s="376"/>
      <c r="AD145" s="377"/>
      <c r="AE145" s="375">
        <v>10</v>
      </c>
      <c r="AF145" s="376"/>
      <c r="AG145" s="377"/>
      <c r="AH145" s="442">
        <v>303</v>
      </c>
      <c r="AI145" s="443"/>
      <c r="AJ145" s="444"/>
      <c r="AK145" s="375" t="s">
        <v>431</v>
      </c>
      <c r="AL145" s="376"/>
      <c r="AM145" s="377"/>
      <c r="AN145" s="375">
        <v>8</v>
      </c>
      <c r="AO145" s="376"/>
      <c r="AP145" s="377"/>
      <c r="AQ145" s="375">
        <v>0</v>
      </c>
      <c r="AR145" s="376"/>
      <c r="AS145" s="377"/>
      <c r="AT145" s="375" t="s">
        <v>436</v>
      </c>
      <c r="AU145" s="376"/>
      <c r="AV145" s="377"/>
      <c r="AW145" s="417" t="s">
        <v>446</v>
      </c>
      <c r="AX145" s="418"/>
      <c r="AY145" s="418"/>
      <c r="AZ145" s="418"/>
      <c r="BA145" s="419"/>
      <c r="BB145" s="375">
        <v>0</v>
      </c>
      <c r="BC145" s="376"/>
      <c r="BD145" s="377"/>
      <c r="BE145" s="417" t="s">
        <v>448</v>
      </c>
      <c r="BF145" s="418"/>
      <c r="BG145" s="419"/>
    </row>
    <row r="146" spans="2:59" ht="17" customHeight="1">
      <c r="B146" s="63" t="s">
        <v>479</v>
      </c>
      <c r="C146" s="381" t="s">
        <v>68</v>
      </c>
      <c r="D146" s="382"/>
      <c r="E146" s="382"/>
      <c r="F146" s="383"/>
      <c r="G146" s="330" t="s">
        <v>230</v>
      </c>
      <c r="H146" s="331"/>
      <c r="I146" s="331"/>
      <c r="J146" s="332"/>
      <c r="K146" s="330">
        <v>109</v>
      </c>
      <c r="L146" s="331"/>
      <c r="M146" s="332"/>
      <c r="N146" s="371" t="s">
        <v>330</v>
      </c>
      <c r="O146" s="372"/>
      <c r="P146" s="372"/>
      <c r="Q146" s="372"/>
      <c r="R146" s="373"/>
      <c r="S146" s="420" t="s">
        <v>505</v>
      </c>
      <c r="T146" s="372"/>
      <c r="U146" s="372"/>
      <c r="V146" s="372"/>
      <c r="W146" s="373"/>
      <c r="X146" s="330" t="s">
        <v>435</v>
      </c>
      <c r="Y146" s="331"/>
      <c r="Z146" s="331"/>
      <c r="AA146" s="332"/>
      <c r="AB146" s="330">
        <v>10</v>
      </c>
      <c r="AC146" s="331"/>
      <c r="AD146" s="332"/>
      <c r="AE146" s="384">
        <v>31</v>
      </c>
      <c r="AF146" s="385"/>
      <c r="AG146" s="386"/>
      <c r="AH146" s="384">
        <v>304</v>
      </c>
      <c r="AI146" s="385"/>
      <c r="AJ146" s="386"/>
      <c r="AK146" s="330" t="s">
        <v>431</v>
      </c>
      <c r="AL146" s="331"/>
      <c r="AM146" s="332"/>
      <c r="AN146" s="330">
        <v>9</v>
      </c>
      <c r="AO146" s="331"/>
      <c r="AP146" s="332"/>
      <c r="AQ146" s="330">
        <v>0</v>
      </c>
      <c r="AR146" s="331"/>
      <c r="AS146" s="332"/>
      <c r="AT146" s="330" t="s">
        <v>436</v>
      </c>
      <c r="AU146" s="331"/>
      <c r="AV146" s="332"/>
      <c r="AW146" s="371" t="s">
        <v>447</v>
      </c>
      <c r="AX146" s="372"/>
      <c r="AY146" s="372"/>
      <c r="AZ146" s="372"/>
      <c r="BA146" s="373"/>
      <c r="BB146" s="330">
        <v>0</v>
      </c>
      <c r="BC146" s="331"/>
      <c r="BD146" s="332"/>
      <c r="BE146" s="371" t="s">
        <v>448</v>
      </c>
      <c r="BF146" s="372"/>
      <c r="BG146" s="373"/>
    </row>
    <row r="147" spans="2:59" ht="17" customHeight="1">
      <c r="B147" s="62" t="s">
        <v>480</v>
      </c>
      <c r="C147" s="390" t="s">
        <v>68</v>
      </c>
      <c r="D147" s="391"/>
      <c r="E147" s="391"/>
      <c r="F147" s="392"/>
      <c r="G147" s="405" t="s">
        <v>230</v>
      </c>
      <c r="H147" s="406"/>
      <c r="I147" s="406"/>
      <c r="J147" s="407"/>
      <c r="K147" s="405">
        <v>110</v>
      </c>
      <c r="L147" s="406"/>
      <c r="M147" s="407"/>
      <c r="N147" s="402" t="s">
        <v>331</v>
      </c>
      <c r="O147" s="403"/>
      <c r="P147" s="403"/>
      <c r="Q147" s="403"/>
      <c r="R147" s="404"/>
      <c r="S147" s="431" t="s">
        <v>506</v>
      </c>
      <c r="T147" s="403"/>
      <c r="U147" s="403"/>
      <c r="V147" s="403"/>
      <c r="W147" s="404"/>
      <c r="X147" s="405" t="s">
        <v>435</v>
      </c>
      <c r="Y147" s="406"/>
      <c r="Z147" s="406"/>
      <c r="AA147" s="407"/>
      <c r="AB147" s="393">
        <v>12</v>
      </c>
      <c r="AC147" s="394"/>
      <c r="AD147" s="395"/>
      <c r="AE147" s="405">
        <v>10</v>
      </c>
      <c r="AF147" s="406"/>
      <c r="AG147" s="407"/>
      <c r="AH147" s="405">
        <v>101</v>
      </c>
      <c r="AI147" s="406"/>
      <c r="AJ147" s="407"/>
      <c r="AK147" s="405" t="s">
        <v>431</v>
      </c>
      <c r="AL147" s="406"/>
      <c r="AM147" s="407"/>
      <c r="AN147" s="405">
        <v>10</v>
      </c>
      <c r="AO147" s="406"/>
      <c r="AP147" s="407"/>
      <c r="AQ147" s="405">
        <v>0</v>
      </c>
      <c r="AR147" s="406"/>
      <c r="AS147" s="407"/>
      <c r="AT147" s="405" t="s">
        <v>436</v>
      </c>
      <c r="AU147" s="406"/>
      <c r="AV147" s="407"/>
      <c r="AW147" s="402" t="s">
        <v>446</v>
      </c>
      <c r="AX147" s="403"/>
      <c r="AY147" s="403"/>
      <c r="AZ147" s="403"/>
      <c r="BA147" s="404"/>
      <c r="BB147" s="405">
        <v>0</v>
      </c>
      <c r="BC147" s="406"/>
      <c r="BD147" s="407"/>
      <c r="BE147" s="402" t="s">
        <v>448</v>
      </c>
      <c r="BF147" s="403"/>
      <c r="BG147" s="404"/>
    </row>
    <row r="148" spans="2:59" ht="17" customHeight="1">
      <c r="B148" s="40" t="s">
        <v>498</v>
      </c>
      <c r="C148" s="396" t="s">
        <v>68</v>
      </c>
      <c r="D148" s="397"/>
      <c r="E148" s="397"/>
      <c r="F148" s="398"/>
      <c r="G148" s="354" t="s">
        <v>230</v>
      </c>
      <c r="H148" s="355"/>
      <c r="I148" s="355"/>
      <c r="J148" s="356"/>
      <c r="K148" s="354">
        <v>111</v>
      </c>
      <c r="L148" s="355"/>
      <c r="M148" s="356"/>
      <c r="N148" s="357" t="s">
        <v>499</v>
      </c>
      <c r="O148" s="358"/>
      <c r="P148" s="358"/>
      <c r="Q148" s="358"/>
      <c r="R148" s="359"/>
      <c r="S148" s="584" t="s">
        <v>500</v>
      </c>
      <c r="T148" s="358"/>
      <c r="U148" s="358"/>
      <c r="V148" s="358"/>
      <c r="W148" s="359"/>
      <c r="X148" s="354" t="s">
        <v>435</v>
      </c>
      <c r="Y148" s="355"/>
      <c r="Z148" s="355"/>
      <c r="AA148" s="356"/>
      <c r="AB148" s="354">
        <v>10</v>
      </c>
      <c r="AC148" s="355"/>
      <c r="AD148" s="356"/>
      <c r="AE148" s="354">
        <v>10</v>
      </c>
      <c r="AF148" s="355"/>
      <c r="AG148" s="356"/>
      <c r="AH148" s="354">
        <v>101</v>
      </c>
      <c r="AI148" s="355"/>
      <c r="AJ148" s="356"/>
      <c r="AK148" s="330" t="s">
        <v>431</v>
      </c>
      <c r="AL148" s="331"/>
      <c r="AM148" s="332"/>
      <c r="AN148" s="354">
        <v>5</v>
      </c>
      <c r="AO148" s="355"/>
      <c r="AP148" s="356"/>
      <c r="AQ148" s="354">
        <v>0</v>
      </c>
      <c r="AR148" s="355"/>
      <c r="AS148" s="356"/>
      <c r="AT148" s="354" t="s">
        <v>436</v>
      </c>
      <c r="AU148" s="355"/>
      <c r="AV148" s="356"/>
      <c r="AW148" s="371" t="s">
        <v>447</v>
      </c>
      <c r="AX148" s="372"/>
      <c r="AY148" s="372"/>
      <c r="AZ148" s="372"/>
      <c r="BA148" s="373"/>
      <c r="BB148" s="354">
        <v>0</v>
      </c>
      <c r="BC148" s="355"/>
      <c r="BD148" s="356"/>
      <c r="BE148" s="371" t="s">
        <v>448</v>
      </c>
      <c r="BF148" s="372"/>
      <c r="BG148" s="373"/>
    </row>
    <row r="149" spans="2:59" ht="17" customHeight="1">
      <c r="B149" s="62" t="s">
        <v>507</v>
      </c>
      <c r="C149" s="424" t="s">
        <v>68</v>
      </c>
      <c r="D149" s="425"/>
      <c r="E149" s="425"/>
      <c r="F149" s="426"/>
      <c r="G149" s="378" t="s">
        <v>230</v>
      </c>
      <c r="H149" s="379"/>
      <c r="I149" s="379"/>
      <c r="J149" s="380"/>
      <c r="K149" s="378">
        <v>113</v>
      </c>
      <c r="L149" s="379"/>
      <c r="M149" s="380"/>
      <c r="N149" s="322" t="s">
        <v>508</v>
      </c>
      <c r="O149" s="323"/>
      <c r="P149" s="323"/>
      <c r="Q149" s="323"/>
      <c r="R149" s="324"/>
      <c r="S149" s="605" t="s">
        <v>509</v>
      </c>
      <c r="T149" s="323"/>
      <c r="U149" s="323"/>
      <c r="V149" s="323"/>
      <c r="W149" s="324"/>
      <c r="X149" s="378" t="s">
        <v>435</v>
      </c>
      <c r="Y149" s="379"/>
      <c r="Z149" s="379"/>
      <c r="AA149" s="380"/>
      <c r="AB149" s="378">
        <v>10</v>
      </c>
      <c r="AC149" s="379"/>
      <c r="AD149" s="380"/>
      <c r="AE149" s="428">
        <v>31</v>
      </c>
      <c r="AF149" s="429"/>
      <c r="AG149" s="430"/>
      <c r="AH149" s="428">
        <v>303</v>
      </c>
      <c r="AI149" s="429"/>
      <c r="AJ149" s="430"/>
      <c r="AK149" s="378" t="s">
        <v>431</v>
      </c>
      <c r="AL149" s="379"/>
      <c r="AM149" s="380"/>
      <c r="AN149" s="378">
        <v>6</v>
      </c>
      <c r="AO149" s="379"/>
      <c r="AP149" s="380"/>
      <c r="AQ149" s="378">
        <v>0</v>
      </c>
      <c r="AR149" s="379"/>
      <c r="AS149" s="380"/>
      <c r="AT149" s="378" t="s">
        <v>436</v>
      </c>
      <c r="AU149" s="379"/>
      <c r="AV149" s="380"/>
      <c r="AW149" s="322" t="s">
        <v>447</v>
      </c>
      <c r="AX149" s="323"/>
      <c r="AY149" s="323"/>
      <c r="AZ149" s="323"/>
      <c r="BA149" s="324"/>
      <c r="BB149" s="378">
        <v>0</v>
      </c>
      <c r="BC149" s="379"/>
      <c r="BD149" s="380"/>
      <c r="BE149" s="322" t="s">
        <v>448</v>
      </c>
      <c r="BF149" s="323"/>
      <c r="BG149" s="324"/>
    </row>
    <row r="150" spans="2:59" ht="17" customHeight="1">
      <c r="B150" s="66" t="s">
        <v>731</v>
      </c>
      <c r="C150" s="438" t="s">
        <v>68</v>
      </c>
      <c r="D150" s="439"/>
      <c r="E150" s="439"/>
      <c r="F150" s="440"/>
      <c r="G150" s="375" t="s">
        <v>230</v>
      </c>
      <c r="H150" s="376"/>
      <c r="I150" s="376"/>
      <c r="J150" s="377"/>
      <c r="K150" s="375">
        <v>115</v>
      </c>
      <c r="L150" s="376"/>
      <c r="M150" s="377"/>
      <c r="N150" s="417" t="s">
        <v>748</v>
      </c>
      <c r="O150" s="418"/>
      <c r="P150" s="418"/>
      <c r="Q150" s="418"/>
      <c r="R150" s="419"/>
      <c r="S150" s="441" t="s">
        <v>751</v>
      </c>
      <c r="T150" s="418"/>
      <c r="U150" s="418"/>
      <c r="V150" s="418"/>
      <c r="W150" s="419"/>
      <c r="X150" s="375" t="s">
        <v>435</v>
      </c>
      <c r="Y150" s="376"/>
      <c r="Z150" s="376"/>
      <c r="AA150" s="377"/>
      <c r="AB150" s="442">
        <v>12</v>
      </c>
      <c r="AC150" s="443"/>
      <c r="AD150" s="444"/>
      <c r="AE150" s="442">
        <v>31</v>
      </c>
      <c r="AF150" s="443"/>
      <c r="AG150" s="444"/>
      <c r="AH150" s="442">
        <v>303</v>
      </c>
      <c r="AI150" s="443"/>
      <c r="AJ150" s="444"/>
      <c r="AK150" s="375" t="s">
        <v>431</v>
      </c>
      <c r="AL150" s="376"/>
      <c r="AM150" s="377"/>
      <c r="AN150" s="375">
        <v>5</v>
      </c>
      <c r="AO150" s="376"/>
      <c r="AP150" s="377"/>
      <c r="AQ150" s="375">
        <v>0</v>
      </c>
      <c r="AR150" s="376"/>
      <c r="AS150" s="377"/>
      <c r="AT150" s="375" t="s">
        <v>436</v>
      </c>
      <c r="AU150" s="376"/>
      <c r="AV150" s="377"/>
      <c r="AW150" s="417" t="s">
        <v>446</v>
      </c>
      <c r="AX150" s="418"/>
      <c r="AY150" s="418"/>
      <c r="AZ150" s="418"/>
      <c r="BA150" s="419"/>
      <c r="BB150" s="375">
        <v>0</v>
      </c>
      <c r="BC150" s="376"/>
      <c r="BD150" s="377"/>
      <c r="BE150" s="417" t="s">
        <v>448</v>
      </c>
      <c r="BF150" s="418"/>
      <c r="BG150" s="419"/>
    </row>
    <row r="151" spans="2:59" ht="17" customHeight="1">
      <c r="B151" s="71" t="s">
        <v>746</v>
      </c>
      <c r="C151" s="381" t="s">
        <v>68</v>
      </c>
      <c r="D151" s="382"/>
      <c r="E151" s="382"/>
      <c r="F151" s="383"/>
      <c r="G151" s="330" t="s">
        <v>230</v>
      </c>
      <c r="H151" s="331"/>
      <c r="I151" s="331"/>
      <c r="J151" s="332"/>
      <c r="K151" s="330">
        <v>116</v>
      </c>
      <c r="L151" s="331"/>
      <c r="M151" s="332"/>
      <c r="N151" s="371" t="s">
        <v>749</v>
      </c>
      <c r="O151" s="372"/>
      <c r="P151" s="372"/>
      <c r="Q151" s="372"/>
      <c r="R151" s="373"/>
      <c r="S151" s="420" t="s">
        <v>752</v>
      </c>
      <c r="T151" s="372"/>
      <c r="U151" s="372"/>
      <c r="V151" s="372"/>
      <c r="W151" s="373"/>
      <c r="X151" s="330" t="s">
        <v>435</v>
      </c>
      <c r="Y151" s="331"/>
      <c r="Z151" s="331"/>
      <c r="AA151" s="332"/>
      <c r="AB151" s="384">
        <v>13</v>
      </c>
      <c r="AC151" s="385"/>
      <c r="AD151" s="386"/>
      <c r="AE151" s="384">
        <v>32</v>
      </c>
      <c r="AF151" s="385"/>
      <c r="AG151" s="386"/>
      <c r="AH151" s="384">
        <v>304</v>
      </c>
      <c r="AI151" s="385"/>
      <c r="AJ151" s="386"/>
      <c r="AK151" s="330" t="s">
        <v>431</v>
      </c>
      <c r="AL151" s="331"/>
      <c r="AM151" s="332"/>
      <c r="AN151" s="330">
        <v>6</v>
      </c>
      <c r="AO151" s="331"/>
      <c r="AP151" s="332"/>
      <c r="AQ151" s="330">
        <v>0</v>
      </c>
      <c r="AR151" s="331"/>
      <c r="AS151" s="332"/>
      <c r="AT151" s="330" t="s">
        <v>436</v>
      </c>
      <c r="AU151" s="331"/>
      <c r="AV151" s="332"/>
      <c r="AW151" s="371" t="s">
        <v>431</v>
      </c>
      <c r="AX151" s="372"/>
      <c r="AY151" s="372"/>
      <c r="AZ151" s="372"/>
      <c r="BA151" s="373"/>
      <c r="BB151" s="330">
        <v>0</v>
      </c>
      <c r="BC151" s="331"/>
      <c r="BD151" s="332"/>
      <c r="BE151" s="371" t="s">
        <v>448</v>
      </c>
      <c r="BF151" s="372"/>
      <c r="BG151" s="373"/>
    </row>
    <row r="152" spans="2:59" ht="17" customHeight="1">
      <c r="B152" s="70" t="s">
        <v>747</v>
      </c>
      <c r="C152" s="390" t="s">
        <v>68</v>
      </c>
      <c r="D152" s="391"/>
      <c r="E152" s="391"/>
      <c r="F152" s="392"/>
      <c r="G152" s="405" t="s">
        <v>230</v>
      </c>
      <c r="H152" s="406"/>
      <c r="I152" s="406"/>
      <c r="J152" s="407"/>
      <c r="K152" s="405">
        <v>117</v>
      </c>
      <c r="L152" s="406"/>
      <c r="M152" s="407"/>
      <c r="N152" s="402" t="s">
        <v>750</v>
      </c>
      <c r="O152" s="403"/>
      <c r="P152" s="403"/>
      <c r="Q152" s="403"/>
      <c r="R152" s="404"/>
      <c r="S152" s="431" t="s">
        <v>730</v>
      </c>
      <c r="T152" s="403"/>
      <c r="U152" s="403"/>
      <c r="V152" s="403"/>
      <c r="W152" s="404"/>
      <c r="X152" s="405" t="s">
        <v>435</v>
      </c>
      <c r="Y152" s="406"/>
      <c r="Z152" s="406"/>
      <c r="AA152" s="407"/>
      <c r="AB152" s="428">
        <v>14</v>
      </c>
      <c r="AC152" s="429"/>
      <c r="AD152" s="430"/>
      <c r="AE152" s="393">
        <v>33</v>
      </c>
      <c r="AF152" s="394"/>
      <c r="AG152" s="395"/>
      <c r="AH152" s="393">
        <v>305</v>
      </c>
      <c r="AI152" s="394"/>
      <c r="AJ152" s="395"/>
      <c r="AK152" s="405" t="s">
        <v>431</v>
      </c>
      <c r="AL152" s="406"/>
      <c r="AM152" s="407"/>
      <c r="AN152" s="405">
        <v>7</v>
      </c>
      <c r="AO152" s="406"/>
      <c r="AP152" s="407"/>
      <c r="AQ152" s="405">
        <v>0</v>
      </c>
      <c r="AR152" s="406"/>
      <c r="AS152" s="407"/>
      <c r="AT152" s="405" t="s">
        <v>436</v>
      </c>
      <c r="AU152" s="406"/>
      <c r="AV152" s="407"/>
      <c r="AW152" s="402" t="s">
        <v>446</v>
      </c>
      <c r="AX152" s="403"/>
      <c r="AY152" s="403"/>
      <c r="AZ152" s="403"/>
      <c r="BA152" s="404"/>
      <c r="BB152" s="405">
        <v>0</v>
      </c>
      <c r="BC152" s="406"/>
      <c r="BD152" s="407"/>
      <c r="BE152" s="402" t="s">
        <v>448</v>
      </c>
      <c r="BF152" s="403"/>
      <c r="BG152" s="404"/>
    </row>
    <row r="154" spans="2:59" ht="17" customHeight="1">
      <c r="B154" s="454" t="s">
        <v>56</v>
      </c>
      <c r="C154" s="446" t="s">
        <v>242</v>
      </c>
      <c r="D154" s="447"/>
      <c r="E154" s="447"/>
      <c r="F154" s="447"/>
      <c r="G154" s="447"/>
      <c r="H154" s="447"/>
      <c r="I154" s="447"/>
      <c r="J154" s="447"/>
      <c r="K154" s="447"/>
      <c r="L154" s="447"/>
      <c r="M154" s="447"/>
      <c r="N154" s="447"/>
      <c r="O154" s="447"/>
      <c r="P154" s="447"/>
      <c r="Q154" s="447"/>
      <c r="R154" s="447"/>
      <c r="S154" s="447"/>
      <c r="T154" s="447"/>
      <c r="U154" s="447"/>
      <c r="V154" s="447"/>
      <c r="W154" s="447"/>
      <c r="X154" s="447"/>
      <c r="Y154" s="447"/>
      <c r="Z154" s="447"/>
      <c r="AA154" s="447"/>
      <c r="AB154" s="447"/>
      <c r="AC154" s="447"/>
      <c r="AD154" s="447"/>
      <c r="AE154" s="447"/>
      <c r="AF154" s="448"/>
    </row>
    <row r="155" spans="2:59" ht="17" customHeight="1">
      <c r="B155" s="454"/>
      <c r="C155" s="312" t="s">
        <v>62</v>
      </c>
      <c r="D155" s="313"/>
      <c r="E155" s="313"/>
      <c r="F155" s="314"/>
      <c r="G155" s="312" t="s">
        <v>198</v>
      </c>
      <c r="H155" s="313"/>
      <c r="I155" s="313"/>
      <c r="J155" s="314"/>
      <c r="K155" s="312" t="s">
        <v>200</v>
      </c>
      <c r="L155" s="313"/>
      <c r="M155" s="314"/>
      <c r="N155" s="458" t="s">
        <v>202</v>
      </c>
      <c r="O155" s="459"/>
      <c r="P155" s="459"/>
      <c r="Q155" s="459"/>
      <c r="R155" s="460"/>
      <c r="S155" s="312" t="s">
        <v>208</v>
      </c>
      <c r="T155" s="313"/>
      <c r="U155" s="314"/>
      <c r="V155" s="549" t="s">
        <v>413</v>
      </c>
      <c r="W155" s="549"/>
      <c r="X155" s="549" t="s">
        <v>415</v>
      </c>
      <c r="Y155" s="549"/>
      <c r="Z155" s="549" t="s">
        <v>417</v>
      </c>
      <c r="AA155" s="549"/>
      <c r="AB155" s="549" t="s">
        <v>420</v>
      </c>
      <c r="AC155" s="549"/>
      <c r="AD155" s="204" t="s">
        <v>422</v>
      </c>
      <c r="AE155" s="204"/>
      <c r="AF155" s="204"/>
    </row>
    <row r="156" spans="2:59" ht="17" customHeight="1">
      <c r="B156" s="454"/>
      <c r="C156" s="309" t="s">
        <v>63</v>
      </c>
      <c r="D156" s="310"/>
      <c r="E156" s="310"/>
      <c r="F156" s="311"/>
      <c r="G156" s="309" t="s">
        <v>199</v>
      </c>
      <c r="H156" s="310"/>
      <c r="I156" s="310"/>
      <c r="J156" s="311"/>
      <c r="K156" s="309" t="s">
        <v>201</v>
      </c>
      <c r="L156" s="310"/>
      <c r="M156" s="311"/>
      <c r="N156" s="309" t="s">
        <v>203</v>
      </c>
      <c r="O156" s="310"/>
      <c r="P156" s="310"/>
      <c r="Q156" s="310"/>
      <c r="R156" s="311"/>
      <c r="S156" s="309" t="s">
        <v>218</v>
      </c>
      <c r="T156" s="310"/>
      <c r="U156" s="311"/>
      <c r="V156" s="548" t="s">
        <v>414</v>
      </c>
      <c r="W156" s="548"/>
      <c r="X156" s="548" t="s">
        <v>416</v>
      </c>
      <c r="Y156" s="548"/>
      <c r="Z156" s="548" t="s">
        <v>418</v>
      </c>
      <c r="AA156" s="548"/>
      <c r="AB156" s="548" t="s">
        <v>421</v>
      </c>
      <c r="AC156" s="548"/>
      <c r="AD156" s="221" t="s">
        <v>423</v>
      </c>
      <c r="AE156" s="221"/>
      <c r="AF156" s="221"/>
    </row>
    <row r="157" spans="2:59" ht="17" customHeight="1">
      <c r="B157" s="58" t="s">
        <v>481</v>
      </c>
      <c r="C157" s="396" t="s">
        <v>68</v>
      </c>
      <c r="D157" s="397"/>
      <c r="E157" s="397"/>
      <c r="F157" s="398"/>
      <c r="G157" s="354" t="s">
        <v>230</v>
      </c>
      <c r="H157" s="355"/>
      <c r="I157" s="355"/>
      <c r="J157" s="356"/>
      <c r="K157" s="370">
        <v>101</v>
      </c>
      <c r="L157" s="370"/>
      <c r="M157" s="370"/>
      <c r="N157" s="357" t="s">
        <v>433</v>
      </c>
      <c r="O157" s="358"/>
      <c r="P157" s="358"/>
      <c r="Q157" s="358"/>
      <c r="R157" s="359"/>
      <c r="S157" s="354">
        <v>10</v>
      </c>
      <c r="T157" s="355"/>
      <c r="U157" s="356"/>
      <c r="V157" s="370">
        <v>20</v>
      </c>
      <c r="W157" s="370"/>
      <c r="X157" s="370">
        <v>0</v>
      </c>
      <c r="Y157" s="370"/>
      <c r="Z157" s="370" t="s">
        <v>419</v>
      </c>
      <c r="AA157" s="370"/>
      <c r="AB157" s="370" t="s">
        <v>419</v>
      </c>
      <c r="AC157" s="370"/>
      <c r="AD157" s="370" t="s">
        <v>405</v>
      </c>
      <c r="AE157" s="370"/>
      <c r="AF157" s="370"/>
    </row>
    <row r="158" spans="2:59" ht="17" customHeight="1">
      <c r="B158" s="42" t="s">
        <v>426</v>
      </c>
      <c r="C158" s="381" t="s">
        <v>68</v>
      </c>
      <c r="D158" s="382"/>
      <c r="E158" s="382"/>
      <c r="F158" s="383"/>
      <c r="G158" s="330" t="s">
        <v>230</v>
      </c>
      <c r="H158" s="331"/>
      <c r="I158" s="331"/>
      <c r="J158" s="332"/>
      <c r="K158" s="329">
        <v>102</v>
      </c>
      <c r="L158" s="329"/>
      <c r="M158" s="329"/>
      <c r="N158" s="371" t="s">
        <v>407</v>
      </c>
      <c r="O158" s="372"/>
      <c r="P158" s="372"/>
      <c r="Q158" s="372"/>
      <c r="R158" s="373"/>
      <c r="S158" s="330">
        <v>10</v>
      </c>
      <c r="T158" s="331"/>
      <c r="U158" s="332"/>
      <c r="V158" s="329">
        <v>20</v>
      </c>
      <c r="W158" s="329"/>
      <c r="X158" s="329">
        <v>0</v>
      </c>
      <c r="Y158" s="329"/>
      <c r="Z158" s="329" t="s">
        <v>419</v>
      </c>
      <c r="AA158" s="329"/>
      <c r="AB158" s="329" t="s">
        <v>419</v>
      </c>
      <c r="AC158" s="387"/>
      <c r="AD158" s="329" t="s">
        <v>405</v>
      </c>
      <c r="AE158" s="329"/>
      <c r="AF158" s="329"/>
    </row>
    <row r="159" spans="2:59" ht="17" customHeight="1">
      <c r="B159" s="62" t="s">
        <v>482</v>
      </c>
      <c r="C159" s="390" t="s">
        <v>68</v>
      </c>
      <c r="D159" s="391"/>
      <c r="E159" s="391"/>
      <c r="F159" s="392"/>
      <c r="G159" s="405" t="s">
        <v>230</v>
      </c>
      <c r="H159" s="406"/>
      <c r="I159" s="406"/>
      <c r="J159" s="407"/>
      <c r="K159" s="240">
        <v>103</v>
      </c>
      <c r="L159" s="240"/>
      <c r="M159" s="240"/>
      <c r="N159" s="402" t="s">
        <v>312</v>
      </c>
      <c r="O159" s="403"/>
      <c r="P159" s="403"/>
      <c r="Q159" s="403"/>
      <c r="R159" s="404"/>
      <c r="S159" s="405">
        <v>10</v>
      </c>
      <c r="T159" s="406"/>
      <c r="U159" s="407"/>
      <c r="V159" s="445">
        <v>20</v>
      </c>
      <c r="W159" s="445"/>
      <c r="X159" s="445">
        <v>0</v>
      </c>
      <c r="Y159" s="445"/>
      <c r="Z159" s="445" t="s">
        <v>419</v>
      </c>
      <c r="AA159" s="445"/>
      <c r="AB159" s="445" t="s">
        <v>419</v>
      </c>
      <c r="AC159" s="445"/>
      <c r="AD159" s="445" t="s">
        <v>405</v>
      </c>
      <c r="AE159" s="445"/>
      <c r="AF159" s="445"/>
    </row>
    <row r="160" spans="2:59" ht="17" customHeight="1">
      <c r="B160" s="58" t="s">
        <v>483</v>
      </c>
      <c r="C160" s="397" t="s">
        <v>68</v>
      </c>
      <c r="D160" s="397"/>
      <c r="E160" s="397"/>
      <c r="F160" s="398"/>
      <c r="G160" s="354" t="s">
        <v>230</v>
      </c>
      <c r="H160" s="355"/>
      <c r="I160" s="355"/>
      <c r="J160" s="356"/>
      <c r="K160" s="370">
        <v>104</v>
      </c>
      <c r="L160" s="370"/>
      <c r="M160" s="370"/>
      <c r="N160" s="357" t="s">
        <v>319</v>
      </c>
      <c r="O160" s="358"/>
      <c r="P160" s="358"/>
      <c r="Q160" s="358"/>
      <c r="R160" s="359"/>
      <c r="S160" s="354">
        <v>10</v>
      </c>
      <c r="T160" s="355"/>
      <c r="U160" s="356"/>
      <c r="V160" s="370">
        <v>20</v>
      </c>
      <c r="W160" s="370"/>
      <c r="X160" s="370">
        <v>0</v>
      </c>
      <c r="Y160" s="370"/>
      <c r="Z160" s="370" t="s">
        <v>419</v>
      </c>
      <c r="AA160" s="370"/>
      <c r="AB160" s="370" t="s">
        <v>419</v>
      </c>
      <c r="AC160" s="370"/>
      <c r="AD160" s="370" t="s">
        <v>405</v>
      </c>
      <c r="AE160" s="370"/>
      <c r="AF160" s="370"/>
    </row>
    <row r="161" spans="1:32" ht="17" customHeight="1">
      <c r="B161" s="44" t="s">
        <v>484</v>
      </c>
      <c r="C161" s="439" t="s">
        <v>68</v>
      </c>
      <c r="D161" s="439"/>
      <c r="E161" s="439"/>
      <c r="F161" s="440"/>
      <c r="G161" s="375" t="s">
        <v>230</v>
      </c>
      <c r="H161" s="376"/>
      <c r="I161" s="376"/>
      <c r="J161" s="377"/>
      <c r="K161" s="227">
        <v>105</v>
      </c>
      <c r="L161" s="227"/>
      <c r="M161" s="227"/>
      <c r="N161" s="417" t="s">
        <v>321</v>
      </c>
      <c r="O161" s="418"/>
      <c r="P161" s="418"/>
      <c r="Q161" s="418"/>
      <c r="R161" s="419"/>
      <c r="S161" s="375">
        <v>10</v>
      </c>
      <c r="T161" s="376"/>
      <c r="U161" s="377"/>
      <c r="V161" s="227">
        <v>20</v>
      </c>
      <c r="W161" s="227"/>
      <c r="X161" s="227">
        <v>0</v>
      </c>
      <c r="Y161" s="227"/>
      <c r="Z161" s="227" t="s">
        <v>419</v>
      </c>
      <c r="AA161" s="227"/>
      <c r="AB161" s="227" t="s">
        <v>419</v>
      </c>
      <c r="AC161" s="227"/>
      <c r="AD161" s="227" t="s">
        <v>405</v>
      </c>
      <c r="AE161" s="227"/>
      <c r="AF161" s="227"/>
    </row>
    <row r="162" spans="1:32" ht="17" customHeight="1">
      <c r="A162" s="46"/>
      <c r="B162" s="60" t="s">
        <v>485</v>
      </c>
      <c r="C162" s="382" t="s">
        <v>68</v>
      </c>
      <c r="D162" s="382"/>
      <c r="E162" s="382"/>
      <c r="F162" s="383"/>
      <c r="G162" s="330" t="s">
        <v>230</v>
      </c>
      <c r="H162" s="331"/>
      <c r="I162" s="331"/>
      <c r="J162" s="332"/>
      <c r="K162" s="329">
        <v>106</v>
      </c>
      <c r="L162" s="329"/>
      <c r="M162" s="329"/>
      <c r="N162" s="371" t="s">
        <v>327</v>
      </c>
      <c r="O162" s="372"/>
      <c r="P162" s="372"/>
      <c r="Q162" s="372"/>
      <c r="R162" s="373"/>
      <c r="S162" s="384">
        <v>12</v>
      </c>
      <c r="T162" s="385"/>
      <c r="U162" s="386"/>
      <c r="V162" s="329">
        <v>20</v>
      </c>
      <c r="W162" s="329"/>
      <c r="X162" s="329">
        <v>0</v>
      </c>
      <c r="Y162" s="329"/>
      <c r="Z162" s="329" t="s">
        <v>419</v>
      </c>
      <c r="AA162" s="329"/>
      <c r="AB162" s="329" t="s">
        <v>419</v>
      </c>
      <c r="AC162" s="329"/>
      <c r="AD162" s="389" t="s">
        <v>405</v>
      </c>
      <c r="AE162" s="329"/>
      <c r="AF162" s="329"/>
    </row>
    <row r="163" spans="1:32" ht="17" customHeight="1">
      <c r="A163" s="46"/>
      <c r="B163" s="43" t="s">
        <v>486</v>
      </c>
      <c r="C163" s="376" t="s">
        <v>444</v>
      </c>
      <c r="D163" s="376"/>
      <c r="E163" s="376"/>
      <c r="F163" s="377"/>
      <c r="G163" s="375" t="s">
        <v>444</v>
      </c>
      <c r="H163" s="376"/>
      <c r="I163" s="376"/>
      <c r="J163" s="377"/>
      <c r="K163" s="375" t="s">
        <v>445</v>
      </c>
      <c r="L163" s="376"/>
      <c r="M163" s="377"/>
      <c r="N163" s="417" t="s">
        <v>328</v>
      </c>
      <c r="O163" s="418"/>
      <c r="P163" s="418"/>
      <c r="Q163" s="418"/>
      <c r="R163" s="419"/>
      <c r="S163" s="375">
        <v>11</v>
      </c>
      <c r="T163" s="376"/>
      <c r="U163" s="377"/>
      <c r="V163" s="227">
        <v>20</v>
      </c>
      <c r="W163" s="227"/>
      <c r="X163" s="227">
        <v>0</v>
      </c>
      <c r="Y163" s="227"/>
      <c r="Z163" s="227" t="s">
        <v>419</v>
      </c>
      <c r="AA163" s="227"/>
      <c r="AB163" s="227" t="s">
        <v>419</v>
      </c>
      <c r="AC163" s="227"/>
      <c r="AD163" s="229" t="s">
        <v>405</v>
      </c>
      <c r="AE163" s="227"/>
      <c r="AF163" s="227"/>
    </row>
    <row r="164" spans="1:32" ht="17" customHeight="1">
      <c r="A164" s="46"/>
      <c r="B164" s="60" t="s">
        <v>487</v>
      </c>
      <c r="C164" s="382" t="s">
        <v>68</v>
      </c>
      <c r="D164" s="382"/>
      <c r="E164" s="382"/>
      <c r="F164" s="383"/>
      <c r="G164" s="330" t="s">
        <v>230</v>
      </c>
      <c r="H164" s="331"/>
      <c r="I164" s="331"/>
      <c r="J164" s="332"/>
      <c r="K164" s="329">
        <v>108</v>
      </c>
      <c r="L164" s="329"/>
      <c r="M164" s="329"/>
      <c r="N164" s="371" t="s">
        <v>329</v>
      </c>
      <c r="O164" s="372"/>
      <c r="P164" s="372"/>
      <c r="Q164" s="372"/>
      <c r="R164" s="373"/>
      <c r="S164" s="330">
        <v>10</v>
      </c>
      <c r="T164" s="331"/>
      <c r="U164" s="332"/>
      <c r="V164" s="329">
        <v>20</v>
      </c>
      <c r="W164" s="329"/>
      <c r="X164" s="329">
        <v>0</v>
      </c>
      <c r="Y164" s="329"/>
      <c r="Z164" s="329" t="s">
        <v>419</v>
      </c>
      <c r="AA164" s="329"/>
      <c r="AB164" s="329" t="s">
        <v>419</v>
      </c>
      <c r="AC164" s="329"/>
      <c r="AD164" s="389" t="s">
        <v>405</v>
      </c>
      <c r="AE164" s="329"/>
      <c r="AF164" s="329"/>
    </row>
    <row r="165" spans="1:32" ht="17" customHeight="1">
      <c r="A165" s="46"/>
      <c r="B165" s="60" t="s">
        <v>488</v>
      </c>
      <c r="C165" s="382" t="s">
        <v>68</v>
      </c>
      <c r="D165" s="382"/>
      <c r="E165" s="382"/>
      <c r="F165" s="383"/>
      <c r="G165" s="330" t="s">
        <v>230</v>
      </c>
      <c r="H165" s="331"/>
      <c r="I165" s="331"/>
      <c r="J165" s="332"/>
      <c r="K165" s="329">
        <v>109</v>
      </c>
      <c r="L165" s="329"/>
      <c r="M165" s="329"/>
      <c r="N165" s="371" t="s">
        <v>330</v>
      </c>
      <c r="O165" s="372"/>
      <c r="P165" s="372"/>
      <c r="Q165" s="372"/>
      <c r="R165" s="373"/>
      <c r="S165" s="330">
        <v>10</v>
      </c>
      <c r="T165" s="331"/>
      <c r="U165" s="332"/>
      <c r="V165" s="329">
        <v>20</v>
      </c>
      <c r="W165" s="329"/>
      <c r="X165" s="329">
        <v>0</v>
      </c>
      <c r="Y165" s="329"/>
      <c r="Z165" s="329" t="s">
        <v>419</v>
      </c>
      <c r="AA165" s="329"/>
      <c r="AB165" s="329" t="s">
        <v>419</v>
      </c>
      <c r="AC165" s="329"/>
      <c r="AD165" s="389" t="s">
        <v>405</v>
      </c>
      <c r="AE165" s="329"/>
      <c r="AF165" s="329"/>
    </row>
    <row r="166" spans="1:32" ht="17" customHeight="1">
      <c r="B166" s="62" t="s">
        <v>489</v>
      </c>
      <c r="C166" s="424" t="s">
        <v>68</v>
      </c>
      <c r="D166" s="425"/>
      <c r="E166" s="425"/>
      <c r="F166" s="426"/>
      <c r="G166" s="378" t="s">
        <v>230</v>
      </c>
      <c r="H166" s="379"/>
      <c r="I166" s="379"/>
      <c r="J166" s="380"/>
      <c r="K166" s="427">
        <v>110</v>
      </c>
      <c r="L166" s="427"/>
      <c r="M166" s="427"/>
      <c r="N166" s="322" t="s">
        <v>331</v>
      </c>
      <c r="O166" s="323"/>
      <c r="P166" s="323"/>
      <c r="Q166" s="323"/>
      <c r="R166" s="324"/>
      <c r="S166" s="428">
        <v>12</v>
      </c>
      <c r="T166" s="429"/>
      <c r="U166" s="430"/>
      <c r="V166" s="427">
        <v>20</v>
      </c>
      <c r="W166" s="427"/>
      <c r="X166" s="427">
        <v>0</v>
      </c>
      <c r="Y166" s="427"/>
      <c r="Z166" s="427" t="s">
        <v>419</v>
      </c>
      <c r="AA166" s="427"/>
      <c r="AB166" s="427" t="s">
        <v>419</v>
      </c>
      <c r="AC166" s="427"/>
      <c r="AD166" s="427" t="s">
        <v>405</v>
      </c>
      <c r="AE166" s="427"/>
      <c r="AF166" s="427"/>
    </row>
    <row r="167" spans="1:32" ht="17" customHeight="1">
      <c r="B167" s="58" t="s">
        <v>512</v>
      </c>
      <c r="C167" s="396" t="s">
        <v>68</v>
      </c>
      <c r="D167" s="397"/>
      <c r="E167" s="397"/>
      <c r="F167" s="398"/>
      <c r="G167" s="354" t="s">
        <v>230</v>
      </c>
      <c r="H167" s="355"/>
      <c r="I167" s="355"/>
      <c r="J167" s="356"/>
      <c r="K167" s="370">
        <v>111</v>
      </c>
      <c r="L167" s="370"/>
      <c r="M167" s="370"/>
      <c r="N167" s="357" t="s">
        <v>515</v>
      </c>
      <c r="O167" s="358"/>
      <c r="P167" s="358"/>
      <c r="Q167" s="358"/>
      <c r="R167" s="359"/>
      <c r="S167" s="354">
        <v>10</v>
      </c>
      <c r="T167" s="355"/>
      <c r="U167" s="356"/>
      <c r="V167" s="370">
        <v>20</v>
      </c>
      <c r="W167" s="370"/>
      <c r="X167" s="370">
        <v>0</v>
      </c>
      <c r="Y167" s="370"/>
      <c r="Z167" s="370" t="s">
        <v>419</v>
      </c>
      <c r="AA167" s="370"/>
      <c r="AB167" s="370" t="s">
        <v>419</v>
      </c>
      <c r="AC167" s="370"/>
      <c r="AD167" s="370" t="s">
        <v>405</v>
      </c>
      <c r="AE167" s="370"/>
      <c r="AF167" s="370"/>
    </row>
    <row r="168" spans="1:32" ht="17" customHeight="1">
      <c r="B168" s="62" t="s">
        <v>516</v>
      </c>
      <c r="C168" s="425" t="s">
        <v>68</v>
      </c>
      <c r="D168" s="425"/>
      <c r="E168" s="425"/>
      <c r="F168" s="426"/>
      <c r="G168" s="378" t="s">
        <v>230</v>
      </c>
      <c r="H168" s="379"/>
      <c r="I168" s="379"/>
      <c r="J168" s="380"/>
      <c r="K168" s="427">
        <v>113</v>
      </c>
      <c r="L168" s="427"/>
      <c r="M168" s="427"/>
      <c r="N168" s="322" t="s">
        <v>517</v>
      </c>
      <c r="O168" s="323"/>
      <c r="P168" s="323"/>
      <c r="Q168" s="323"/>
      <c r="R168" s="324"/>
      <c r="S168" s="378">
        <v>10</v>
      </c>
      <c r="T168" s="379"/>
      <c r="U168" s="380"/>
      <c r="V168" s="427">
        <v>20</v>
      </c>
      <c r="W168" s="427"/>
      <c r="X168" s="427">
        <v>0</v>
      </c>
      <c r="Y168" s="427"/>
      <c r="Z168" s="427" t="s">
        <v>419</v>
      </c>
      <c r="AA168" s="427"/>
      <c r="AB168" s="427" t="s">
        <v>419</v>
      </c>
      <c r="AC168" s="427"/>
      <c r="AD168" s="427" t="s">
        <v>405</v>
      </c>
      <c r="AE168" s="427"/>
      <c r="AF168" s="427"/>
    </row>
    <row r="169" spans="1:32" ht="17" customHeight="1">
      <c r="A169" s="46"/>
      <c r="B169" s="69" t="s">
        <v>743</v>
      </c>
      <c r="C169" s="382" t="s">
        <v>68</v>
      </c>
      <c r="D169" s="382"/>
      <c r="E169" s="382"/>
      <c r="F169" s="383"/>
      <c r="G169" s="330" t="s">
        <v>230</v>
      </c>
      <c r="H169" s="331"/>
      <c r="I169" s="331"/>
      <c r="J169" s="332"/>
      <c r="K169" s="329">
        <v>115</v>
      </c>
      <c r="L169" s="329"/>
      <c r="M169" s="329"/>
      <c r="N169" s="371" t="s">
        <v>725</v>
      </c>
      <c r="O169" s="372"/>
      <c r="P169" s="372"/>
      <c r="Q169" s="372"/>
      <c r="R169" s="373"/>
      <c r="S169" s="442">
        <v>12</v>
      </c>
      <c r="T169" s="443"/>
      <c r="U169" s="444"/>
      <c r="V169" s="329">
        <v>20</v>
      </c>
      <c r="W169" s="329"/>
      <c r="X169" s="329">
        <v>0</v>
      </c>
      <c r="Y169" s="329"/>
      <c r="Z169" s="329" t="s">
        <v>419</v>
      </c>
      <c r="AA169" s="329"/>
      <c r="AB169" s="329" t="s">
        <v>419</v>
      </c>
      <c r="AC169" s="329"/>
      <c r="AD169" s="389" t="s">
        <v>405</v>
      </c>
      <c r="AE169" s="329"/>
      <c r="AF169" s="329"/>
    </row>
    <row r="170" spans="1:32" ht="17" customHeight="1">
      <c r="A170" s="46"/>
      <c r="B170" s="69" t="s">
        <v>733</v>
      </c>
      <c r="C170" s="382" t="s">
        <v>68</v>
      </c>
      <c r="D170" s="382"/>
      <c r="E170" s="382"/>
      <c r="F170" s="383"/>
      <c r="G170" s="330" t="s">
        <v>230</v>
      </c>
      <c r="H170" s="331"/>
      <c r="I170" s="331"/>
      <c r="J170" s="332"/>
      <c r="K170" s="329">
        <v>116</v>
      </c>
      <c r="L170" s="329"/>
      <c r="M170" s="329"/>
      <c r="N170" s="371" t="s">
        <v>744</v>
      </c>
      <c r="O170" s="372"/>
      <c r="P170" s="372"/>
      <c r="Q170" s="372"/>
      <c r="R170" s="373"/>
      <c r="S170" s="384">
        <v>13</v>
      </c>
      <c r="T170" s="385"/>
      <c r="U170" s="386"/>
      <c r="V170" s="329">
        <v>20</v>
      </c>
      <c r="W170" s="329"/>
      <c r="X170" s="329">
        <v>0</v>
      </c>
      <c r="Y170" s="329"/>
      <c r="Z170" s="329" t="s">
        <v>419</v>
      </c>
      <c r="AA170" s="329"/>
      <c r="AB170" s="329" t="s">
        <v>419</v>
      </c>
      <c r="AC170" s="329"/>
      <c r="AD170" s="389" t="s">
        <v>405</v>
      </c>
      <c r="AE170" s="329"/>
      <c r="AF170" s="329"/>
    </row>
    <row r="171" spans="1:32" ht="17" customHeight="1">
      <c r="B171" s="70" t="s">
        <v>736</v>
      </c>
      <c r="C171" s="424" t="s">
        <v>68</v>
      </c>
      <c r="D171" s="425"/>
      <c r="E171" s="425"/>
      <c r="F171" s="426"/>
      <c r="G171" s="378" t="s">
        <v>230</v>
      </c>
      <c r="H171" s="379"/>
      <c r="I171" s="379"/>
      <c r="J171" s="380"/>
      <c r="K171" s="427">
        <v>117</v>
      </c>
      <c r="L171" s="427"/>
      <c r="M171" s="427"/>
      <c r="N171" s="322" t="s">
        <v>745</v>
      </c>
      <c r="O171" s="323"/>
      <c r="P171" s="323"/>
      <c r="Q171" s="323"/>
      <c r="R171" s="324"/>
      <c r="S171" s="428">
        <v>14</v>
      </c>
      <c r="T171" s="429"/>
      <c r="U171" s="430"/>
      <c r="V171" s="427">
        <v>20</v>
      </c>
      <c r="W171" s="427"/>
      <c r="X171" s="427">
        <v>0</v>
      </c>
      <c r="Y171" s="427"/>
      <c r="Z171" s="427" t="s">
        <v>419</v>
      </c>
      <c r="AA171" s="427"/>
      <c r="AB171" s="427" t="s">
        <v>419</v>
      </c>
      <c r="AC171" s="427"/>
      <c r="AD171" s="427" t="s">
        <v>405</v>
      </c>
      <c r="AE171" s="427"/>
      <c r="AF171" s="427"/>
    </row>
    <row r="172" spans="1:32" ht="17" customHeight="1">
      <c r="T172" s="32"/>
    </row>
    <row r="173" spans="1:32" ht="17" customHeight="1">
      <c r="B173" s="454" t="s">
        <v>56</v>
      </c>
      <c r="C173" s="50" t="s">
        <v>179</v>
      </c>
      <c r="D173" s="51"/>
      <c r="E173" s="51"/>
      <c r="F173" s="51"/>
      <c r="G173" s="51"/>
      <c r="H173" s="51"/>
      <c r="I173" s="51"/>
      <c r="J173" s="51"/>
      <c r="K173" s="51"/>
      <c r="L173" s="51"/>
      <c r="M173" s="51"/>
      <c r="N173" s="51"/>
      <c r="O173" s="51"/>
      <c r="P173" s="51"/>
      <c r="Q173" s="52"/>
    </row>
    <row r="174" spans="1:32" ht="17" customHeight="1">
      <c r="B174" s="454"/>
      <c r="C174" s="312" t="s">
        <v>62</v>
      </c>
      <c r="D174" s="313"/>
      <c r="E174" s="313"/>
      <c r="F174" s="314"/>
      <c r="G174" s="312" t="s">
        <v>182</v>
      </c>
      <c r="H174" s="313"/>
      <c r="I174" s="314"/>
      <c r="J174" s="458" t="s">
        <v>180</v>
      </c>
      <c r="K174" s="459"/>
      <c r="L174" s="459"/>
      <c r="M174" s="459"/>
      <c r="N174" s="460"/>
      <c r="O174" s="312" t="s">
        <v>184</v>
      </c>
      <c r="P174" s="313"/>
      <c r="Q174" s="314"/>
    </row>
    <row r="175" spans="1:32" ht="17" customHeight="1">
      <c r="B175" s="454"/>
      <c r="C175" s="309" t="s">
        <v>63</v>
      </c>
      <c r="D175" s="310"/>
      <c r="E175" s="310"/>
      <c r="F175" s="311"/>
      <c r="G175" s="309" t="s">
        <v>183</v>
      </c>
      <c r="H175" s="310"/>
      <c r="I175" s="311"/>
      <c r="J175" s="309" t="s">
        <v>181</v>
      </c>
      <c r="K175" s="310"/>
      <c r="L175" s="310"/>
      <c r="M175" s="310"/>
      <c r="N175" s="311"/>
      <c r="O175" s="309" t="s">
        <v>185</v>
      </c>
      <c r="P175" s="310"/>
      <c r="Q175" s="311"/>
    </row>
    <row r="176" spans="1:32" ht="17" customHeight="1">
      <c r="B176" s="39" t="s">
        <v>452</v>
      </c>
      <c r="C176" s="411" t="s">
        <v>68</v>
      </c>
      <c r="D176" s="412"/>
      <c r="E176" s="412"/>
      <c r="F176" s="413"/>
      <c r="G176" s="414">
        <v>31</v>
      </c>
      <c r="H176" s="415"/>
      <c r="I176" s="416"/>
      <c r="J176" s="472" t="s">
        <v>451</v>
      </c>
      <c r="K176" s="473"/>
      <c r="L176" s="473"/>
      <c r="M176" s="473"/>
      <c r="N176" s="474"/>
      <c r="O176" s="456">
        <v>4</v>
      </c>
      <c r="P176" s="457"/>
      <c r="Q176" s="464"/>
    </row>
    <row r="177" spans="2:20" ht="17" customHeight="1">
      <c r="B177" s="65" t="s">
        <v>756</v>
      </c>
      <c r="C177" s="580" t="s">
        <v>68</v>
      </c>
      <c r="D177" s="581"/>
      <c r="E177" s="581"/>
      <c r="F177" s="582"/>
      <c r="G177" s="574">
        <v>31</v>
      </c>
      <c r="H177" s="575"/>
      <c r="I177" s="576"/>
      <c r="J177" s="541" t="s">
        <v>315</v>
      </c>
      <c r="K177" s="542"/>
      <c r="L177" s="542"/>
      <c r="M177" s="542"/>
      <c r="N177" s="543"/>
      <c r="O177" s="502">
        <v>4</v>
      </c>
      <c r="P177" s="503"/>
      <c r="Q177" s="504"/>
    </row>
    <row r="178" spans="2:20" ht="17" customHeight="1">
      <c r="B178" s="68" t="s">
        <v>757</v>
      </c>
      <c r="C178" s="382" t="s">
        <v>68</v>
      </c>
      <c r="D178" s="382"/>
      <c r="E178" s="382"/>
      <c r="F178" s="383"/>
      <c r="G178" s="384">
        <v>32</v>
      </c>
      <c r="H178" s="385"/>
      <c r="I178" s="386"/>
      <c r="J178" s="371" t="s">
        <v>721</v>
      </c>
      <c r="K178" s="372"/>
      <c r="L178" s="372"/>
      <c r="M178" s="372"/>
      <c r="N178" s="372"/>
      <c r="O178" s="330">
        <v>5</v>
      </c>
      <c r="P178" s="331"/>
      <c r="Q178" s="332"/>
    </row>
    <row r="179" spans="2:20" ht="17" customHeight="1">
      <c r="B179" s="64" t="s">
        <v>758</v>
      </c>
      <c r="C179" s="390" t="s">
        <v>68</v>
      </c>
      <c r="D179" s="391"/>
      <c r="E179" s="391"/>
      <c r="F179" s="392"/>
      <c r="G179" s="393">
        <v>33</v>
      </c>
      <c r="H179" s="394"/>
      <c r="I179" s="395"/>
      <c r="J179" s="402" t="s">
        <v>723</v>
      </c>
      <c r="K179" s="403"/>
      <c r="L179" s="403"/>
      <c r="M179" s="403"/>
      <c r="N179" s="404"/>
      <c r="O179" s="405">
        <v>6</v>
      </c>
      <c r="P179" s="406"/>
      <c r="Q179" s="407"/>
    </row>
    <row r="181" spans="2:20" ht="17" customHeight="1">
      <c r="B181" s="454" t="s">
        <v>56</v>
      </c>
      <c r="C181" s="198" t="s">
        <v>197</v>
      </c>
      <c r="D181" s="199"/>
      <c r="E181" s="199"/>
      <c r="F181" s="199"/>
      <c r="G181" s="199"/>
      <c r="H181" s="199"/>
      <c r="I181" s="199"/>
      <c r="J181" s="199"/>
      <c r="K181" s="199"/>
      <c r="L181" s="199"/>
      <c r="M181" s="199"/>
      <c r="N181" s="199"/>
      <c r="O181" s="199"/>
      <c r="P181" s="199"/>
      <c r="Q181" s="199"/>
      <c r="R181" s="199"/>
      <c r="S181" s="199"/>
      <c r="T181" s="200"/>
    </row>
    <row r="182" spans="2:20" ht="17" customHeight="1">
      <c r="B182" s="454"/>
      <c r="C182" s="312" t="s">
        <v>62</v>
      </c>
      <c r="D182" s="313"/>
      <c r="E182" s="313"/>
      <c r="F182" s="314"/>
      <c r="G182" s="312" t="s">
        <v>189</v>
      </c>
      <c r="H182" s="313"/>
      <c r="I182" s="314"/>
      <c r="J182" s="458" t="s">
        <v>191</v>
      </c>
      <c r="K182" s="459"/>
      <c r="L182" s="459"/>
      <c r="M182" s="459"/>
      <c r="N182" s="460"/>
      <c r="O182" s="312" t="s">
        <v>182</v>
      </c>
      <c r="P182" s="313"/>
      <c r="Q182" s="314"/>
      <c r="R182" s="312" t="s">
        <v>184</v>
      </c>
      <c r="S182" s="313"/>
      <c r="T182" s="314"/>
    </row>
    <row r="183" spans="2:20" ht="17" customHeight="1">
      <c r="B183" s="454"/>
      <c r="C183" s="309" t="s">
        <v>63</v>
      </c>
      <c r="D183" s="310"/>
      <c r="E183" s="310"/>
      <c r="F183" s="311"/>
      <c r="G183" s="309" t="s">
        <v>190</v>
      </c>
      <c r="H183" s="310"/>
      <c r="I183" s="311"/>
      <c r="J183" s="309" t="s">
        <v>192</v>
      </c>
      <c r="K183" s="310"/>
      <c r="L183" s="310"/>
      <c r="M183" s="310"/>
      <c r="N183" s="311"/>
      <c r="O183" s="309" t="s">
        <v>183</v>
      </c>
      <c r="P183" s="310"/>
      <c r="Q183" s="311"/>
      <c r="R183" s="309" t="s">
        <v>185</v>
      </c>
      <c r="S183" s="310"/>
      <c r="T183" s="311"/>
    </row>
    <row r="184" spans="2:20" ht="17" customHeight="1">
      <c r="B184" s="67" t="s">
        <v>453</v>
      </c>
      <c r="C184" s="396" t="s">
        <v>68</v>
      </c>
      <c r="D184" s="397"/>
      <c r="E184" s="397"/>
      <c r="F184" s="398"/>
      <c r="G184" s="399">
        <v>303</v>
      </c>
      <c r="H184" s="400"/>
      <c r="I184" s="401"/>
      <c r="J184" s="357" t="s">
        <v>454</v>
      </c>
      <c r="K184" s="358"/>
      <c r="L184" s="358"/>
      <c r="M184" s="358"/>
      <c r="N184" s="359"/>
      <c r="O184" s="354">
        <v>10</v>
      </c>
      <c r="P184" s="355"/>
      <c r="Q184" s="356"/>
      <c r="R184" s="354">
        <v>6</v>
      </c>
      <c r="S184" s="355"/>
      <c r="T184" s="356"/>
    </row>
    <row r="185" spans="2:20" ht="17" customHeight="1">
      <c r="B185" s="64" t="s">
        <v>455</v>
      </c>
      <c r="C185" s="390" t="s">
        <v>68</v>
      </c>
      <c r="D185" s="391"/>
      <c r="E185" s="391"/>
      <c r="F185" s="392"/>
      <c r="G185" s="393">
        <v>304</v>
      </c>
      <c r="H185" s="394"/>
      <c r="I185" s="395"/>
      <c r="J185" s="402" t="s">
        <v>456</v>
      </c>
      <c r="K185" s="403"/>
      <c r="L185" s="403"/>
      <c r="M185" s="403"/>
      <c r="N185" s="404"/>
      <c r="O185" s="405">
        <v>31</v>
      </c>
      <c r="P185" s="406"/>
      <c r="Q185" s="407"/>
      <c r="R185" s="405">
        <v>7</v>
      </c>
      <c r="S185" s="406"/>
      <c r="T185" s="407"/>
    </row>
    <row r="186" spans="2:20" ht="17" customHeight="1">
      <c r="B186" s="39" t="s">
        <v>518</v>
      </c>
      <c r="C186" s="411" t="s">
        <v>68</v>
      </c>
      <c r="D186" s="412"/>
      <c r="E186" s="412"/>
      <c r="F186" s="413"/>
      <c r="G186" s="414">
        <v>303</v>
      </c>
      <c r="H186" s="415"/>
      <c r="I186" s="416"/>
      <c r="J186" s="472" t="s">
        <v>456</v>
      </c>
      <c r="K186" s="473"/>
      <c r="L186" s="473"/>
      <c r="M186" s="473"/>
      <c r="N186" s="474"/>
      <c r="O186" s="456">
        <v>31</v>
      </c>
      <c r="P186" s="457"/>
      <c r="Q186" s="464"/>
      <c r="R186" s="456">
        <v>6</v>
      </c>
      <c r="S186" s="457"/>
      <c r="T186" s="464"/>
    </row>
    <row r="187" spans="2:20" ht="17" customHeight="1">
      <c r="B187" s="67" t="s">
        <v>740</v>
      </c>
      <c r="C187" s="396" t="s">
        <v>68</v>
      </c>
      <c r="D187" s="397"/>
      <c r="E187" s="397"/>
      <c r="F187" s="398"/>
      <c r="G187" s="399">
        <v>303</v>
      </c>
      <c r="H187" s="400"/>
      <c r="I187" s="401"/>
      <c r="J187" s="357" t="s">
        <v>759</v>
      </c>
      <c r="K187" s="358"/>
      <c r="L187" s="358"/>
      <c r="M187" s="358"/>
      <c r="N187" s="359"/>
      <c r="O187" s="399">
        <v>31</v>
      </c>
      <c r="P187" s="400"/>
      <c r="Q187" s="401"/>
      <c r="R187" s="354">
        <v>6</v>
      </c>
      <c r="S187" s="355"/>
      <c r="T187" s="356"/>
    </row>
    <row r="188" spans="2:20" ht="17" customHeight="1">
      <c r="B188" s="68" t="s">
        <v>762</v>
      </c>
      <c r="C188" s="381" t="s">
        <v>68</v>
      </c>
      <c r="D188" s="382"/>
      <c r="E188" s="382"/>
      <c r="F188" s="383"/>
      <c r="G188" s="384">
        <v>304</v>
      </c>
      <c r="H188" s="385"/>
      <c r="I188" s="386"/>
      <c r="J188" s="371" t="s">
        <v>760</v>
      </c>
      <c r="K188" s="372"/>
      <c r="L188" s="372"/>
      <c r="M188" s="372"/>
      <c r="N188" s="373"/>
      <c r="O188" s="384">
        <v>32</v>
      </c>
      <c r="P188" s="385"/>
      <c r="Q188" s="386"/>
      <c r="R188" s="330">
        <v>7</v>
      </c>
      <c r="S188" s="331"/>
      <c r="T188" s="332"/>
    </row>
    <row r="189" spans="2:20" ht="17" customHeight="1">
      <c r="B189" s="64" t="s">
        <v>742</v>
      </c>
      <c r="C189" s="390" t="s">
        <v>68</v>
      </c>
      <c r="D189" s="391"/>
      <c r="E189" s="391"/>
      <c r="F189" s="392"/>
      <c r="G189" s="393">
        <v>305</v>
      </c>
      <c r="H189" s="394"/>
      <c r="I189" s="395"/>
      <c r="J189" s="402" t="s">
        <v>761</v>
      </c>
      <c r="K189" s="403"/>
      <c r="L189" s="403"/>
      <c r="M189" s="403"/>
      <c r="N189" s="404"/>
      <c r="O189" s="393">
        <v>33</v>
      </c>
      <c r="P189" s="394"/>
      <c r="Q189" s="395"/>
      <c r="R189" s="405">
        <v>8</v>
      </c>
      <c r="S189" s="406"/>
      <c r="T189" s="407"/>
    </row>
    <row r="191" spans="2:20" ht="17" customHeight="1">
      <c r="B191" s="454" t="s">
        <v>56</v>
      </c>
      <c r="C191" s="446" t="s">
        <v>207</v>
      </c>
      <c r="D191" s="447"/>
      <c r="E191" s="447"/>
      <c r="F191" s="447"/>
      <c r="G191" s="447"/>
      <c r="H191" s="447"/>
      <c r="I191" s="447"/>
      <c r="J191" s="447"/>
      <c r="K191" s="447"/>
      <c r="L191" s="447"/>
      <c r="M191" s="447"/>
      <c r="N191" s="447"/>
      <c r="O191" s="447"/>
      <c r="P191" s="447"/>
      <c r="Q191" s="447"/>
      <c r="R191" s="447"/>
      <c r="S191" s="448"/>
    </row>
    <row r="192" spans="2:20" ht="17" customHeight="1">
      <c r="B192" s="454"/>
      <c r="C192" s="312" t="s">
        <v>62</v>
      </c>
      <c r="D192" s="313"/>
      <c r="E192" s="313"/>
      <c r="F192" s="314"/>
      <c r="G192" s="312" t="s">
        <v>208</v>
      </c>
      <c r="H192" s="313"/>
      <c r="I192" s="314"/>
      <c r="J192" s="458" t="s">
        <v>211</v>
      </c>
      <c r="K192" s="459"/>
      <c r="L192" s="459"/>
      <c r="M192" s="459"/>
      <c r="N192" s="460"/>
      <c r="O192" s="458" t="s">
        <v>210</v>
      </c>
      <c r="P192" s="459"/>
      <c r="Q192" s="459"/>
      <c r="R192" s="459"/>
      <c r="S192" s="460"/>
    </row>
    <row r="193" spans="2:19" ht="17" customHeight="1">
      <c r="B193" s="454"/>
      <c r="C193" s="309" t="s">
        <v>63</v>
      </c>
      <c r="D193" s="310"/>
      <c r="E193" s="310"/>
      <c r="F193" s="311"/>
      <c r="G193" s="309" t="s">
        <v>209</v>
      </c>
      <c r="H193" s="310"/>
      <c r="I193" s="311"/>
      <c r="J193" s="309" t="s">
        <v>212</v>
      </c>
      <c r="K193" s="310"/>
      <c r="L193" s="310"/>
      <c r="M193" s="310"/>
      <c r="N193" s="311"/>
      <c r="O193" s="309" t="s">
        <v>213</v>
      </c>
      <c r="P193" s="310"/>
      <c r="Q193" s="310"/>
      <c r="R193" s="310"/>
      <c r="S193" s="311"/>
    </row>
    <row r="194" spans="2:19" ht="17" customHeight="1">
      <c r="B194" s="39" t="s">
        <v>449</v>
      </c>
      <c r="C194" s="411" t="s">
        <v>68</v>
      </c>
      <c r="D194" s="412"/>
      <c r="E194" s="412"/>
      <c r="F194" s="413"/>
      <c r="G194" s="414">
        <v>12</v>
      </c>
      <c r="H194" s="415"/>
      <c r="I194" s="416"/>
      <c r="J194" s="207" t="s">
        <v>450</v>
      </c>
      <c r="K194" s="208"/>
      <c r="L194" s="208"/>
      <c r="M194" s="208"/>
      <c r="N194" s="209"/>
      <c r="O194" s="207" t="s">
        <v>450</v>
      </c>
      <c r="P194" s="208"/>
      <c r="Q194" s="208"/>
      <c r="R194" s="208"/>
      <c r="S194" s="209"/>
    </row>
    <row r="195" spans="2:19" ht="17" customHeight="1">
      <c r="B195" s="67" t="s">
        <v>763</v>
      </c>
      <c r="C195" s="396" t="s">
        <v>68</v>
      </c>
      <c r="D195" s="397"/>
      <c r="E195" s="397"/>
      <c r="F195" s="398"/>
      <c r="G195" s="399">
        <v>12</v>
      </c>
      <c r="H195" s="400"/>
      <c r="I195" s="401"/>
      <c r="J195" s="408" t="s">
        <v>753</v>
      </c>
      <c r="K195" s="409"/>
      <c r="L195" s="409"/>
      <c r="M195" s="409"/>
      <c r="N195" s="410"/>
      <c r="O195" s="408" t="s">
        <v>753</v>
      </c>
      <c r="P195" s="409"/>
      <c r="Q195" s="409"/>
      <c r="R195" s="409"/>
      <c r="S195" s="410"/>
    </row>
    <row r="196" spans="2:19" ht="17" customHeight="1">
      <c r="B196" s="68" t="s">
        <v>764</v>
      </c>
      <c r="C196" s="381" t="s">
        <v>68</v>
      </c>
      <c r="D196" s="382"/>
      <c r="E196" s="382"/>
      <c r="F196" s="383"/>
      <c r="G196" s="384">
        <v>13</v>
      </c>
      <c r="H196" s="385"/>
      <c r="I196" s="386"/>
      <c r="J196" s="387" t="s">
        <v>754</v>
      </c>
      <c r="K196" s="388"/>
      <c r="L196" s="388"/>
      <c r="M196" s="388"/>
      <c r="N196" s="389"/>
      <c r="O196" s="387" t="s">
        <v>754</v>
      </c>
      <c r="P196" s="388"/>
      <c r="Q196" s="388"/>
      <c r="R196" s="388"/>
      <c r="S196" s="389"/>
    </row>
    <row r="197" spans="2:19" ht="17" customHeight="1">
      <c r="B197" s="64" t="s">
        <v>765</v>
      </c>
      <c r="C197" s="390" t="s">
        <v>68</v>
      </c>
      <c r="D197" s="391"/>
      <c r="E197" s="391"/>
      <c r="F197" s="392"/>
      <c r="G197" s="393">
        <v>14</v>
      </c>
      <c r="H197" s="394"/>
      <c r="I197" s="395"/>
      <c r="J197" s="241" t="s">
        <v>755</v>
      </c>
      <c r="K197" s="242"/>
      <c r="L197" s="242"/>
      <c r="M197" s="242"/>
      <c r="N197" s="243"/>
      <c r="O197" s="241" t="s">
        <v>755</v>
      </c>
      <c r="P197" s="242"/>
      <c r="Q197" s="242"/>
      <c r="R197" s="242"/>
      <c r="S197" s="243"/>
    </row>
  </sheetData>
  <mergeCells count="1690">
    <mergeCell ref="N146:R146"/>
    <mergeCell ref="BC108:BV108"/>
    <mergeCell ref="AD167:AF167"/>
    <mergeCell ref="C168:F168"/>
    <mergeCell ref="G168:J168"/>
    <mergeCell ref="K168:M168"/>
    <mergeCell ref="N168:R168"/>
    <mergeCell ref="S168:U168"/>
    <mergeCell ref="V168:W168"/>
    <mergeCell ref="X168:Y168"/>
    <mergeCell ref="Z168:AA168"/>
    <mergeCell ref="AB168:AC168"/>
    <mergeCell ref="AD168:AF168"/>
    <mergeCell ref="C167:F167"/>
    <mergeCell ref="G167:J167"/>
    <mergeCell ref="K167:M167"/>
    <mergeCell ref="N167:R167"/>
    <mergeCell ref="S167:U167"/>
    <mergeCell ref="V167:W167"/>
    <mergeCell ref="X167:Y167"/>
    <mergeCell ref="Z167:AA167"/>
    <mergeCell ref="AB167:AC167"/>
    <mergeCell ref="AK148:AM148"/>
    <mergeCell ref="AN148:AP148"/>
    <mergeCell ref="AQ148:AS148"/>
    <mergeCell ref="AT148:AV148"/>
    <mergeCell ref="AW148:BA148"/>
    <mergeCell ref="BB148:BD148"/>
    <mergeCell ref="BE148:BG148"/>
    <mergeCell ref="C149:F149"/>
    <mergeCell ref="G149:J149"/>
    <mergeCell ref="K149:M149"/>
    <mergeCell ref="S149:W149"/>
    <mergeCell ref="X149:AA149"/>
    <mergeCell ref="AB149:AD149"/>
    <mergeCell ref="AE149:AG149"/>
    <mergeCell ref="AH149:AJ149"/>
    <mergeCell ref="AK149:AM149"/>
    <mergeCell ref="AN149:AP149"/>
    <mergeCell ref="AQ149:AS149"/>
    <mergeCell ref="AT149:AV149"/>
    <mergeCell ref="AW149:BA149"/>
    <mergeCell ref="BB149:BD149"/>
    <mergeCell ref="BE149:BG149"/>
    <mergeCell ref="C148:F148"/>
    <mergeCell ref="G148:J148"/>
    <mergeCell ref="K148:M148"/>
    <mergeCell ref="N148:R148"/>
    <mergeCell ref="S148:W148"/>
    <mergeCell ref="X148:AA148"/>
    <mergeCell ref="AB148:AD148"/>
    <mergeCell ref="AE148:AG148"/>
    <mergeCell ref="AH148:AJ148"/>
    <mergeCell ref="N149:R149"/>
    <mergeCell ref="AQ122:AS122"/>
    <mergeCell ref="AW122:AY122"/>
    <mergeCell ref="BC121:BF121"/>
    <mergeCell ref="BG121:BJ121"/>
    <mergeCell ref="BC122:BF122"/>
    <mergeCell ref="BG122:BJ122"/>
    <mergeCell ref="BC123:BF123"/>
    <mergeCell ref="AN124:AP124"/>
    <mergeCell ref="AQ124:AS124"/>
    <mergeCell ref="BK124:BN124"/>
    <mergeCell ref="AN121:AP121"/>
    <mergeCell ref="AQ121:AS121"/>
    <mergeCell ref="AN120:AP120"/>
    <mergeCell ref="BO124:BR124"/>
    <mergeCell ref="BS124:BV124"/>
    <mergeCell ref="C125:E125"/>
    <mergeCell ref="U125:Y125"/>
    <mergeCell ref="Z125:AD125"/>
    <mergeCell ref="AE125:AJ125"/>
    <mergeCell ref="BG124:BJ124"/>
    <mergeCell ref="BC125:BF125"/>
    <mergeCell ref="BG125:BJ125"/>
    <mergeCell ref="BK125:BN125"/>
    <mergeCell ref="BO125:BR125"/>
    <mergeCell ref="BS125:BV125"/>
    <mergeCell ref="AW108:AY108"/>
    <mergeCell ref="C123:E123"/>
    <mergeCell ref="F123:J123"/>
    <mergeCell ref="K123:O123"/>
    <mergeCell ref="P123:T123"/>
    <mergeCell ref="U123:Y123"/>
    <mergeCell ref="Z123:AD123"/>
    <mergeCell ref="AE123:AJ123"/>
    <mergeCell ref="AK123:AM123"/>
    <mergeCell ref="AN123:AP123"/>
    <mergeCell ref="AQ123:AS123"/>
    <mergeCell ref="BK123:BN123"/>
    <mergeCell ref="BO123:BR123"/>
    <mergeCell ref="BS123:BV123"/>
    <mergeCell ref="AW109:AY111"/>
    <mergeCell ref="AW112:AY112"/>
    <mergeCell ref="BG123:BJ123"/>
    <mergeCell ref="BC124:BF124"/>
    <mergeCell ref="AW113:AY113"/>
    <mergeCell ref="AW114:AY114"/>
    <mergeCell ref="AW118:AY118"/>
    <mergeCell ref="AW119:AY119"/>
    <mergeCell ref="AW120:AY120"/>
    <mergeCell ref="BK122:BN122"/>
    <mergeCell ref="BO122:BR122"/>
    <mergeCell ref="BS122:BV122"/>
    <mergeCell ref="AW121:AY121"/>
    <mergeCell ref="AW123:AY123"/>
    <mergeCell ref="AW124:AY124"/>
    <mergeCell ref="BB144:BD144"/>
    <mergeCell ref="BE144:BG144"/>
    <mergeCell ref="BB143:BD143"/>
    <mergeCell ref="AQ120:AS120"/>
    <mergeCell ref="C147:F147"/>
    <mergeCell ref="G147:J147"/>
    <mergeCell ref="F125:J125"/>
    <mergeCell ref="K125:O125"/>
    <mergeCell ref="P125:T125"/>
    <mergeCell ref="BK121:BN121"/>
    <mergeCell ref="BO121:BR121"/>
    <mergeCell ref="BS121:BV121"/>
    <mergeCell ref="B115:B121"/>
    <mergeCell ref="C164:F164"/>
    <mergeCell ref="G164:J164"/>
    <mergeCell ref="K164:M164"/>
    <mergeCell ref="N164:R164"/>
    <mergeCell ref="S164:U164"/>
    <mergeCell ref="V164:W164"/>
    <mergeCell ref="X164:Y164"/>
    <mergeCell ref="Z164:AA164"/>
    <mergeCell ref="AB164:AC164"/>
    <mergeCell ref="AD164:AF164"/>
    <mergeCell ref="C124:E124"/>
    <mergeCell ref="F124:J124"/>
    <mergeCell ref="K124:O124"/>
    <mergeCell ref="P124:T124"/>
    <mergeCell ref="U124:Y124"/>
    <mergeCell ref="AN119:AP119"/>
    <mergeCell ref="AQ119:AS119"/>
    <mergeCell ref="BK119:BN119"/>
    <mergeCell ref="BO119:BR119"/>
    <mergeCell ref="AK119:AM119"/>
    <mergeCell ref="C144:F144"/>
    <mergeCell ref="G144:J144"/>
    <mergeCell ref="AB144:AD144"/>
    <mergeCell ref="C142:F142"/>
    <mergeCell ref="AK138:AM138"/>
    <mergeCell ref="AN137:AP137"/>
    <mergeCell ref="AT137:AV137"/>
    <mergeCell ref="AW137:BA137"/>
    <mergeCell ref="C138:F138"/>
    <mergeCell ref="G138:J138"/>
    <mergeCell ref="K138:M138"/>
    <mergeCell ref="N138:R138"/>
    <mergeCell ref="S138:W138"/>
    <mergeCell ref="X138:AA138"/>
    <mergeCell ref="AB138:AD138"/>
    <mergeCell ref="F120:J120"/>
    <mergeCell ref="K120:O120"/>
    <mergeCell ref="P120:T120"/>
    <mergeCell ref="AK125:AM125"/>
    <mergeCell ref="AN125:AP125"/>
    <mergeCell ref="AQ125:AS125"/>
    <mergeCell ref="AW125:AY125"/>
    <mergeCell ref="C122:E122"/>
    <mergeCell ref="F122:J122"/>
    <mergeCell ref="K122:O122"/>
    <mergeCell ref="P122:T122"/>
    <mergeCell ref="U122:Y122"/>
    <mergeCell ref="Z122:AD122"/>
    <mergeCell ref="AE122:AJ122"/>
    <mergeCell ref="AK122:AM122"/>
    <mergeCell ref="AN122:AP122"/>
    <mergeCell ref="AH146:AJ146"/>
    <mergeCell ref="AK145:AM145"/>
    <mergeCell ref="AN145:AP145"/>
    <mergeCell ref="AQ145:AS145"/>
    <mergeCell ref="AT145:AV145"/>
    <mergeCell ref="AW145:BA145"/>
    <mergeCell ref="C141:F141"/>
    <mergeCell ref="S147:W147"/>
    <mergeCell ref="X147:AA147"/>
    <mergeCell ref="AK146:AM146"/>
    <mergeCell ref="AN146:AP146"/>
    <mergeCell ref="AQ146:AS146"/>
    <mergeCell ref="AT146:AV146"/>
    <mergeCell ref="AW146:BA146"/>
    <mergeCell ref="AE143:AG143"/>
    <mergeCell ref="AH143:AJ143"/>
    <mergeCell ref="AK143:AM143"/>
    <mergeCell ref="AN143:AP143"/>
    <mergeCell ref="AQ143:AS143"/>
    <mergeCell ref="AT143:AV143"/>
    <mergeCell ref="AW143:BA143"/>
    <mergeCell ref="G141:J141"/>
    <mergeCell ref="K141:M141"/>
    <mergeCell ref="N141:R141"/>
    <mergeCell ref="S141:W141"/>
    <mergeCell ref="X141:AA141"/>
    <mergeCell ref="AB141:AD141"/>
    <mergeCell ref="AE141:AG141"/>
    <mergeCell ref="S146:W146"/>
    <mergeCell ref="G142:J142"/>
    <mergeCell ref="K142:M142"/>
    <mergeCell ref="N142:R142"/>
    <mergeCell ref="V166:W166"/>
    <mergeCell ref="X166:Y166"/>
    <mergeCell ref="Z166:AA166"/>
    <mergeCell ref="AB166:AC166"/>
    <mergeCell ref="AD166:AF166"/>
    <mergeCell ref="C165:F165"/>
    <mergeCell ref="G165:J165"/>
    <mergeCell ref="K165:M165"/>
    <mergeCell ref="S162:U162"/>
    <mergeCell ref="V162:W162"/>
    <mergeCell ref="X162:Y162"/>
    <mergeCell ref="Z162:AA162"/>
    <mergeCell ref="AB162:AC162"/>
    <mergeCell ref="AD162:AF162"/>
    <mergeCell ref="C159:F159"/>
    <mergeCell ref="X146:AA146"/>
    <mergeCell ref="AB146:AD146"/>
    <mergeCell ref="AE146:AG146"/>
    <mergeCell ref="N165:R165"/>
    <mergeCell ref="S165:U165"/>
    <mergeCell ref="V165:W165"/>
    <mergeCell ref="X165:Y165"/>
    <mergeCell ref="Z165:AA165"/>
    <mergeCell ref="AB165:AC165"/>
    <mergeCell ref="G159:J159"/>
    <mergeCell ref="K159:M159"/>
    <mergeCell ref="N159:R159"/>
    <mergeCell ref="S159:U159"/>
    <mergeCell ref="Z155:AA155"/>
    <mergeCell ref="AB155:AC155"/>
    <mergeCell ref="AD155:AF155"/>
    <mergeCell ref="V156:W156"/>
    <mergeCell ref="BE145:BG145"/>
    <mergeCell ref="C184:F184"/>
    <mergeCell ref="G184:I184"/>
    <mergeCell ref="J184:N184"/>
    <mergeCell ref="O184:Q184"/>
    <mergeCell ref="R184:T184"/>
    <mergeCell ref="AD163:AF163"/>
    <mergeCell ref="C161:F161"/>
    <mergeCell ref="G161:J161"/>
    <mergeCell ref="K161:M161"/>
    <mergeCell ref="N161:R161"/>
    <mergeCell ref="S161:U161"/>
    <mergeCell ref="V161:W161"/>
    <mergeCell ref="X161:Y161"/>
    <mergeCell ref="Z161:AA161"/>
    <mergeCell ref="AB161:AC161"/>
    <mergeCell ref="AD161:AF161"/>
    <mergeCell ref="K147:M147"/>
    <mergeCell ref="N147:R147"/>
    <mergeCell ref="BE146:BG146"/>
    <mergeCell ref="O176:Q176"/>
    <mergeCell ref="BE147:BG147"/>
    <mergeCell ref="C146:F146"/>
    <mergeCell ref="G146:J146"/>
    <mergeCell ref="K146:M146"/>
    <mergeCell ref="AK147:AM147"/>
    <mergeCell ref="AN147:AP147"/>
    <mergeCell ref="AQ147:AS147"/>
    <mergeCell ref="AT147:AV147"/>
    <mergeCell ref="AW147:BA147"/>
    <mergeCell ref="AD165:AF165"/>
    <mergeCell ref="C166:F166"/>
    <mergeCell ref="R182:T182"/>
    <mergeCell ref="C183:F183"/>
    <mergeCell ref="G183:I183"/>
    <mergeCell ref="J183:N183"/>
    <mergeCell ref="O183:Q183"/>
    <mergeCell ref="R183:T183"/>
    <mergeCell ref="C177:F177"/>
    <mergeCell ref="G177:I177"/>
    <mergeCell ref="J177:N177"/>
    <mergeCell ref="O177:Q177"/>
    <mergeCell ref="C178:F178"/>
    <mergeCell ref="G178:I178"/>
    <mergeCell ref="J178:N178"/>
    <mergeCell ref="O178:Q178"/>
    <mergeCell ref="C179:F179"/>
    <mergeCell ref="B173:B175"/>
    <mergeCell ref="C174:F174"/>
    <mergeCell ref="G174:I174"/>
    <mergeCell ref="J174:N174"/>
    <mergeCell ref="O174:Q174"/>
    <mergeCell ref="C175:F175"/>
    <mergeCell ref="G175:I175"/>
    <mergeCell ref="B191:B193"/>
    <mergeCell ref="C191:S191"/>
    <mergeCell ref="C192:F192"/>
    <mergeCell ref="G192:I192"/>
    <mergeCell ref="J192:N192"/>
    <mergeCell ref="O192:S192"/>
    <mergeCell ref="C193:F193"/>
    <mergeCell ref="G193:I193"/>
    <mergeCell ref="J193:N193"/>
    <mergeCell ref="O193:S193"/>
    <mergeCell ref="C185:F185"/>
    <mergeCell ref="G185:I185"/>
    <mergeCell ref="J185:N185"/>
    <mergeCell ref="O185:Q185"/>
    <mergeCell ref="R185:T185"/>
    <mergeCell ref="C176:F176"/>
    <mergeCell ref="G176:I176"/>
    <mergeCell ref="J176:N176"/>
    <mergeCell ref="G179:I179"/>
    <mergeCell ref="J179:N179"/>
    <mergeCell ref="O179:Q179"/>
    <mergeCell ref="C186:F186"/>
    <mergeCell ref="G186:I186"/>
    <mergeCell ref="J186:N186"/>
    <mergeCell ref="O186:Q186"/>
    <mergeCell ref="R186:T186"/>
    <mergeCell ref="B181:B183"/>
    <mergeCell ref="C181:T181"/>
    <mergeCell ref="C182:F182"/>
    <mergeCell ref="G182:I182"/>
    <mergeCell ref="J182:N182"/>
    <mergeCell ref="O182:Q182"/>
    <mergeCell ref="B154:B156"/>
    <mergeCell ref="C155:F155"/>
    <mergeCell ref="G155:J155"/>
    <mergeCell ref="K155:M155"/>
    <mergeCell ref="N155:R155"/>
    <mergeCell ref="S155:U155"/>
    <mergeCell ref="C156:F156"/>
    <mergeCell ref="G156:J156"/>
    <mergeCell ref="K156:M156"/>
    <mergeCell ref="N156:R156"/>
    <mergeCell ref="S156:U156"/>
    <mergeCell ref="J175:N175"/>
    <mergeCell ref="O175:Q175"/>
    <mergeCell ref="C163:F163"/>
    <mergeCell ref="G163:J163"/>
    <mergeCell ref="K163:M163"/>
    <mergeCell ref="N163:R163"/>
    <mergeCell ref="S163:U163"/>
    <mergeCell ref="C170:F170"/>
    <mergeCell ref="G170:J170"/>
    <mergeCell ref="K170:M170"/>
    <mergeCell ref="N170:R170"/>
    <mergeCell ref="S170:U170"/>
    <mergeCell ref="G166:J166"/>
    <mergeCell ref="K166:M166"/>
    <mergeCell ref="N166:R166"/>
    <mergeCell ref="S166:U166"/>
    <mergeCell ref="S142:W142"/>
    <mergeCell ref="X142:AA142"/>
    <mergeCell ref="AB142:AD142"/>
    <mergeCell ref="AE142:AG142"/>
    <mergeCell ref="AE144:AG144"/>
    <mergeCell ref="G145:J145"/>
    <mergeCell ref="K145:M145"/>
    <mergeCell ref="N145:R145"/>
    <mergeCell ref="S145:W145"/>
    <mergeCell ref="X145:AA145"/>
    <mergeCell ref="C145:F145"/>
    <mergeCell ref="K144:M144"/>
    <mergeCell ref="N144:R144"/>
    <mergeCell ref="S144:W144"/>
    <mergeCell ref="X144:AA144"/>
    <mergeCell ref="BE143:BG143"/>
    <mergeCell ref="AN142:AP142"/>
    <mergeCell ref="AQ142:AS142"/>
    <mergeCell ref="AT142:AV142"/>
    <mergeCell ref="AW142:BA142"/>
    <mergeCell ref="BB142:BD142"/>
    <mergeCell ref="BE142:BG142"/>
    <mergeCell ref="AH142:AJ142"/>
    <mergeCell ref="AK142:AM142"/>
    <mergeCell ref="AH144:AJ144"/>
    <mergeCell ref="AK144:AM144"/>
    <mergeCell ref="AN144:AP144"/>
    <mergeCell ref="AQ144:AS144"/>
    <mergeCell ref="AT144:AV144"/>
    <mergeCell ref="AW144:BA144"/>
    <mergeCell ref="AE145:AG145"/>
    <mergeCell ref="AH145:AJ145"/>
    <mergeCell ref="BK118:BN118"/>
    <mergeCell ref="BO118:BR118"/>
    <mergeCell ref="BO120:BR120"/>
    <mergeCell ref="AW128:AY128"/>
    <mergeCell ref="BC128:BF128"/>
    <mergeCell ref="BG128:BJ128"/>
    <mergeCell ref="BK128:BN128"/>
    <mergeCell ref="BO128:BR128"/>
    <mergeCell ref="AH141:AJ141"/>
    <mergeCell ref="AK141:AM141"/>
    <mergeCell ref="AN141:AP141"/>
    <mergeCell ref="AQ141:AS141"/>
    <mergeCell ref="AT141:AV141"/>
    <mergeCell ref="AW141:BA141"/>
    <mergeCell ref="BB141:BD141"/>
    <mergeCell ref="BE141:BG141"/>
    <mergeCell ref="BE139:BG139"/>
    <mergeCell ref="AQ140:AS140"/>
    <mergeCell ref="AK136:AM136"/>
    <mergeCell ref="AK139:AM139"/>
    <mergeCell ref="AK140:AM140"/>
    <mergeCell ref="BB136:BD136"/>
    <mergeCell ref="BB137:BD137"/>
    <mergeCell ref="BB138:BD138"/>
    <mergeCell ref="BE136:BG136"/>
    <mergeCell ref="BE137:BG137"/>
    <mergeCell ref="BE138:BG138"/>
    <mergeCell ref="BC119:BF119"/>
    <mergeCell ref="BC120:BF120"/>
    <mergeCell ref="AK118:AM118"/>
    <mergeCell ref="AN118:AP118"/>
    <mergeCell ref="AE120:AJ120"/>
    <mergeCell ref="K121:O121"/>
    <mergeCell ref="P121:T121"/>
    <mergeCell ref="U121:Y121"/>
    <mergeCell ref="Z121:AD121"/>
    <mergeCell ref="AE121:AJ121"/>
    <mergeCell ref="AK121:AM121"/>
    <mergeCell ref="BS119:BV119"/>
    <mergeCell ref="AK124:AM124"/>
    <mergeCell ref="B122:B125"/>
    <mergeCell ref="BK120:BN120"/>
    <mergeCell ref="AQ136:AS136"/>
    <mergeCell ref="AQ137:AS137"/>
    <mergeCell ref="AQ138:AS138"/>
    <mergeCell ref="AQ139:AS139"/>
    <mergeCell ref="C120:E120"/>
    <mergeCell ref="B135:B137"/>
    <mergeCell ref="C136:F136"/>
    <mergeCell ref="G136:J136"/>
    <mergeCell ref="K136:M136"/>
    <mergeCell ref="N136:R136"/>
    <mergeCell ref="C137:F137"/>
    <mergeCell ref="Z124:AD124"/>
    <mergeCell ref="AE124:AJ124"/>
    <mergeCell ref="BS120:BV120"/>
    <mergeCell ref="U120:Y120"/>
    <mergeCell ref="Z120:AD120"/>
    <mergeCell ref="F119:J119"/>
    <mergeCell ref="K119:O119"/>
    <mergeCell ref="P119:T119"/>
    <mergeCell ref="U119:Y119"/>
    <mergeCell ref="Z119:AD119"/>
    <mergeCell ref="AE119:AJ119"/>
    <mergeCell ref="AB140:AD140"/>
    <mergeCell ref="AN140:AP140"/>
    <mergeCell ref="AW140:BA140"/>
    <mergeCell ref="BB140:BD140"/>
    <mergeCell ref="BE140:BG140"/>
    <mergeCell ref="S136:W136"/>
    <mergeCell ref="X136:AA136"/>
    <mergeCell ref="AB136:AD136"/>
    <mergeCell ref="AE136:AG136"/>
    <mergeCell ref="AH136:AJ136"/>
    <mergeCell ref="AK137:AM137"/>
    <mergeCell ref="AN136:AP136"/>
    <mergeCell ref="AT136:AV136"/>
    <mergeCell ref="AW136:BA136"/>
    <mergeCell ref="AT138:AV138"/>
    <mergeCell ref="AW138:BA138"/>
    <mergeCell ref="N139:R139"/>
    <mergeCell ref="S139:W139"/>
    <mergeCell ref="X139:AA139"/>
    <mergeCell ref="AB139:AD139"/>
    <mergeCell ref="AW139:BA139"/>
    <mergeCell ref="BB139:BD139"/>
    <mergeCell ref="BC115:BF115"/>
    <mergeCell ref="BC116:BF116"/>
    <mergeCell ref="BC117:BF117"/>
    <mergeCell ref="BG115:BJ115"/>
    <mergeCell ref="BG116:BJ116"/>
    <mergeCell ref="BG117:BJ117"/>
    <mergeCell ref="AK115:AM115"/>
    <mergeCell ref="AN115:AP115"/>
    <mergeCell ref="AQ115:AS115"/>
    <mergeCell ref="C116:E116"/>
    <mergeCell ref="F116:J116"/>
    <mergeCell ref="K116:O116"/>
    <mergeCell ref="P116:T116"/>
    <mergeCell ref="U116:Y116"/>
    <mergeCell ref="C117:E117"/>
    <mergeCell ref="F117:J117"/>
    <mergeCell ref="K117:O117"/>
    <mergeCell ref="P117:T117"/>
    <mergeCell ref="U117:Y117"/>
    <mergeCell ref="Z117:AD117"/>
    <mergeCell ref="AW115:AY115"/>
    <mergeCell ref="AW116:AY116"/>
    <mergeCell ref="AW117:AY117"/>
    <mergeCell ref="BG120:BJ120"/>
    <mergeCell ref="C119:E119"/>
    <mergeCell ref="BS118:BV118"/>
    <mergeCell ref="BC118:BF118"/>
    <mergeCell ref="BG118:BJ118"/>
    <mergeCell ref="AQ118:AS118"/>
    <mergeCell ref="C118:E118"/>
    <mergeCell ref="F118:J118"/>
    <mergeCell ref="G137:J137"/>
    <mergeCell ref="K137:M137"/>
    <mergeCell ref="N137:R137"/>
    <mergeCell ref="AE117:AJ117"/>
    <mergeCell ref="V158:W158"/>
    <mergeCell ref="X158:Y158"/>
    <mergeCell ref="Z158:AA158"/>
    <mergeCell ref="Z156:AA156"/>
    <mergeCell ref="AB156:AC156"/>
    <mergeCell ref="AD156:AF156"/>
    <mergeCell ref="AB157:AC157"/>
    <mergeCell ref="AD157:AF157"/>
    <mergeCell ref="N158:R158"/>
    <mergeCell ref="S158:U158"/>
    <mergeCell ref="V157:W157"/>
    <mergeCell ref="X157:Y157"/>
    <mergeCell ref="Z157:AA157"/>
    <mergeCell ref="C157:F157"/>
    <mergeCell ref="G157:J157"/>
    <mergeCell ref="K157:M157"/>
    <mergeCell ref="N157:R157"/>
    <mergeCell ref="S157:U157"/>
    <mergeCell ref="S140:W140"/>
    <mergeCell ref="X140:AA140"/>
    <mergeCell ref="X155:Y155"/>
    <mergeCell ref="C139:F139"/>
    <mergeCell ref="G139:J139"/>
    <mergeCell ref="C121:E121"/>
    <mergeCell ref="F121:J121"/>
    <mergeCell ref="BK112:BN114"/>
    <mergeCell ref="BO112:BR114"/>
    <mergeCell ref="BS112:BV114"/>
    <mergeCell ref="BC112:BF112"/>
    <mergeCell ref="BC113:BF113"/>
    <mergeCell ref="BC114:BF114"/>
    <mergeCell ref="BG112:BJ112"/>
    <mergeCell ref="BG113:BJ113"/>
    <mergeCell ref="BG114:BJ114"/>
    <mergeCell ref="BB146:BD146"/>
    <mergeCell ref="AB147:AD147"/>
    <mergeCell ref="AE147:AG147"/>
    <mergeCell ref="AH147:AJ147"/>
    <mergeCell ref="BB147:BD147"/>
    <mergeCell ref="BB145:BD145"/>
    <mergeCell ref="Z116:AD116"/>
    <mergeCell ref="AE116:AJ116"/>
    <mergeCell ref="AK116:AM116"/>
    <mergeCell ref="AN116:AP116"/>
    <mergeCell ref="AQ116:AS116"/>
    <mergeCell ref="AK117:AM117"/>
    <mergeCell ref="AN117:AP117"/>
    <mergeCell ref="AQ117:AS117"/>
    <mergeCell ref="BK115:BN115"/>
    <mergeCell ref="BK116:BN116"/>
    <mergeCell ref="AK120:AM120"/>
    <mergeCell ref="BG119:BJ119"/>
    <mergeCell ref="BK117:BN117"/>
    <mergeCell ref="BO115:BR115"/>
    <mergeCell ref="BS115:BV115"/>
    <mergeCell ref="BO116:BR116"/>
    <mergeCell ref="BS116:BV116"/>
    <mergeCell ref="BO117:BR117"/>
    <mergeCell ref="BS117:BV117"/>
    <mergeCell ref="B112:B114"/>
    <mergeCell ref="C115:E115"/>
    <mergeCell ref="F115:J115"/>
    <mergeCell ref="K115:O115"/>
    <mergeCell ref="P115:T115"/>
    <mergeCell ref="U115:Y115"/>
    <mergeCell ref="Z115:AD115"/>
    <mergeCell ref="AE115:AJ115"/>
    <mergeCell ref="AE139:AG139"/>
    <mergeCell ref="AE140:AG140"/>
    <mergeCell ref="K118:O118"/>
    <mergeCell ref="P118:T118"/>
    <mergeCell ref="U118:Y118"/>
    <mergeCell ref="Z118:AD118"/>
    <mergeCell ref="AE118:AJ118"/>
    <mergeCell ref="S137:W137"/>
    <mergeCell ref="X137:AA137"/>
    <mergeCell ref="AB137:AD137"/>
    <mergeCell ref="AE137:AG137"/>
    <mergeCell ref="AH137:AJ137"/>
    <mergeCell ref="C140:F140"/>
    <mergeCell ref="G140:J140"/>
    <mergeCell ref="K140:M140"/>
    <mergeCell ref="N140:R140"/>
    <mergeCell ref="K127:O127"/>
    <mergeCell ref="P127:T127"/>
    <mergeCell ref="U127:Y127"/>
    <mergeCell ref="Z127:AD127"/>
    <mergeCell ref="AE127:AJ127"/>
    <mergeCell ref="K139:M139"/>
    <mergeCell ref="D86:F86"/>
    <mergeCell ref="AE110:AJ111"/>
    <mergeCell ref="AK110:AM111"/>
    <mergeCell ref="AN110:AP111"/>
    <mergeCell ref="AQ110:AS111"/>
    <mergeCell ref="AT139:AV139"/>
    <mergeCell ref="AT140:AV140"/>
    <mergeCell ref="AH139:AJ139"/>
    <mergeCell ref="AH140:AJ140"/>
    <mergeCell ref="AB145:AD145"/>
    <mergeCell ref="AQ114:AS114"/>
    <mergeCell ref="AW46:AY79"/>
    <mergeCell ref="AK77:AM77"/>
    <mergeCell ref="AN77:AP77"/>
    <mergeCell ref="AQ77:AS77"/>
    <mergeCell ref="AT77:AV77"/>
    <mergeCell ref="AQ75:AS75"/>
    <mergeCell ref="AT75:AV75"/>
    <mergeCell ref="AQ69:AS69"/>
    <mergeCell ref="AT69:AV69"/>
    <mergeCell ref="AQ66:AS66"/>
    <mergeCell ref="AT66:AV66"/>
    <mergeCell ref="AQ63:AS63"/>
    <mergeCell ref="AT63:AV63"/>
    <mergeCell ref="AQ58:AS58"/>
    <mergeCell ref="AT58:AV58"/>
    <mergeCell ref="AT61:AV61"/>
    <mergeCell ref="BQ79:BT79"/>
    <mergeCell ref="BK109:BN111"/>
    <mergeCell ref="AQ112:AS112"/>
    <mergeCell ref="C110:E111"/>
    <mergeCell ref="F110:J111"/>
    <mergeCell ref="K110:O111"/>
    <mergeCell ref="P110:T111"/>
    <mergeCell ref="U110:Y111"/>
    <mergeCell ref="Z110:AD111"/>
    <mergeCell ref="BM79:BP79"/>
    <mergeCell ref="AN76:AP76"/>
    <mergeCell ref="C75:E75"/>
    <mergeCell ref="F75:J75"/>
    <mergeCell ref="K75:O75"/>
    <mergeCell ref="P75:T75"/>
    <mergeCell ref="U75:Y75"/>
    <mergeCell ref="Z75:AD75"/>
    <mergeCell ref="BO109:BR111"/>
    <mergeCell ref="BQ75:BT77"/>
    <mergeCell ref="AQ76:AS76"/>
    <mergeCell ref="AT76:AV76"/>
    <mergeCell ref="AZ76:BB76"/>
    <mergeCell ref="BC76:BF76"/>
    <mergeCell ref="BG76:BH76"/>
    <mergeCell ref="BI76:BL76"/>
    <mergeCell ref="BM76:BP76"/>
    <mergeCell ref="C77:E77"/>
    <mergeCell ref="F77:J77"/>
    <mergeCell ref="K77:O77"/>
    <mergeCell ref="P77:T77"/>
    <mergeCell ref="U77:Y77"/>
    <mergeCell ref="Z77:AD77"/>
    <mergeCell ref="F114:J114"/>
    <mergeCell ref="K114:O114"/>
    <mergeCell ref="P114:T114"/>
    <mergeCell ref="U114:Y114"/>
    <mergeCell ref="Z114:AD114"/>
    <mergeCell ref="AE114:AJ114"/>
    <mergeCell ref="AK114:AM114"/>
    <mergeCell ref="AN114:AP114"/>
    <mergeCell ref="AQ113:AS113"/>
    <mergeCell ref="C78:E78"/>
    <mergeCell ref="F78:J78"/>
    <mergeCell ref="K78:O78"/>
    <mergeCell ref="P78:T78"/>
    <mergeCell ref="U78:Y78"/>
    <mergeCell ref="Z113:AD113"/>
    <mergeCell ref="AE113:AJ113"/>
    <mergeCell ref="AK113:AM113"/>
    <mergeCell ref="AN113:AP113"/>
    <mergeCell ref="C112:E112"/>
    <mergeCell ref="F112:J112"/>
    <mergeCell ref="K112:O112"/>
    <mergeCell ref="P112:T112"/>
    <mergeCell ref="U112:Y112"/>
    <mergeCell ref="Z112:AD112"/>
    <mergeCell ref="AE112:AJ112"/>
    <mergeCell ref="AK112:AM112"/>
    <mergeCell ref="AN112:AP112"/>
    <mergeCell ref="B75:B77"/>
    <mergeCell ref="C46:AV46"/>
    <mergeCell ref="AZ46:BT46"/>
    <mergeCell ref="B108:B111"/>
    <mergeCell ref="C109:E109"/>
    <mergeCell ref="F109:J109"/>
    <mergeCell ref="K109:O109"/>
    <mergeCell ref="P109:T109"/>
    <mergeCell ref="U109:Y109"/>
    <mergeCell ref="Z109:AD109"/>
    <mergeCell ref="AE109:AJ109"/>
    <mergeCell ref="AK109:AM109"/>
    <mergeCell ref="AN109:AP109"/>
    <mergeCell ref="AQ109:AS109"/>
    <mergeCell ref="C73:AV73"/>
    <mergeCell ref="AZ72:BB74"/>
    <mergeCell ref="BC72:BF74"/>
    <mergeCell ref="BG72:BH74"/>
    <mergeCell ref="BI72:BL74"/>
    <mergeCell ref="BM72:BP74"/>
    <mergeCell ref="BQ72:BT74"/>
    <mergeCell ref="AT78:AV78"/>
    <mergeCell ref="AZ78:BB78"/>
    <mergeCell ref="BC78:BF78"/>
    <mergeCell ref="BG78:BH78"/>
    <mergeCell ref="BI78:BL78"/>
    <mergeCell ref="BM78:BP78"/>
    <mergeCell ref="B72:B74"/>
    <mergeCell ref="BQ78:BT78"/>
    <mergeCell ref="C79:E79"/>
    <mergeCell ref="F79:J79"/>
    <mergeCell ref="K79:O79"/>
    <mergeCell ref="AZ77:BB77"/>
    <mergeCell ref="BC77:BF77"/>
    <mergeCell ref="BG77:BH77"/>
    <mergeCell ref="BI77:BL77"/>
    <mergeCell ref="BM77:BP77"/>
    <mergeCell ref="C76:E76"/>
    <mergeCell ref="AE78:AJ78"/>
    <mergeCell ref="AK78:AM78"/>
    <mergeCell ref="AN78:AP78"/>
    <mergeCell ref="AQ78:AS78"/>
    <mergeCell ref="P79:T79"/>
    <mergeCell ref="AK76:AM76"/>
    <mergeCell ref="AT79:AV79"/>
    <mergeCell ref="AZ79:BB79"/>
    <mergeCell ref="BC79:BF79"/>
    <mergeCell ref="BG79:BH79"/>
    <mergeCell ref="BI79:BL79"/>
    <mergeCell ref="U79:Y79"/>
    <mergeCell ref="Z79:AD79"/>
    <mergeCell ref="AE79:AJ79"/>
    <mergeCell ref="AK79:AM79"/>
    <mergeCell ref="AN79:AP79"/>
    <mergeCell ref="AQ79:AS79"/>
    <mergeCell ref="Z78:AD78"/>
    <mergeCell ref="AE77:AJ77"/>
    <mergeCell ref="AZ75:BB75"/>
    <mergeCell ref="BC75:BF75"/>
    <mergeCell ref="BG75:BH75"/>
    <mergeCell ref="BI75:BL75"/>
    <mergeCell ref="BM75:BP75"/>
    <mergeCell ref="AQ72:AS72"/>
    <mergeCell ref="AT72:AV72"/>
    <mergeCell ref="C74:E74"/>
    <mergeCell ref="F74:J74"/>
    <mergeCell ref="K74:O74"/>
    <mergeCell ref="P74:T74"/>
    <mergeCell ref="U74:Y74"/>
    <mergeCell ref="Z74:AD74"/>
    <mergeCell ref="AE74:AJ74"/>
    <mergeCell ref="AK74:AM74"/>
    <mergeCell ref="AN74:AP74"/>
    <mergeCell ref="AQ74:AS74"/>
    <mergeCell ref="AT74:AV74"/>
    <mergeCell ref="C72:E72"/>
    <mergeCell ref="F72:J72"/>
    <mergeCell ref="K72:O72"/>
    <mergeCell ref="P72:T72"/>
    <mergeCell ref="U72:Y72"/>
    <mergeCell ref="Z72:AD72"/>
    <mergeCell ref="AE72:AJ72"/>
    <mergeCell ref="AK72:AM72"/>
    <mergeCell ref="AN72:AP72"/>
    <mergeCell ref="AE75:AJ75"/>
    <mergeCell ref="AK75:AM75"/>
    <mergeCell ref="AN75:AP75"/>
    <mergeCell ref="C71:E71"/>
    <mergeCell ref="F71:J71"/>
    <mergeCell ref="K71:O71"/>
    <mergeCell ref="P71:T71"/>
    <mergeCell ref="U71:Y71"/>
    <mergeCell ref="Z71:AD71"/>
    <mergeCell ref="AE71:AJ71"/>
    <mergeCell ref="AK71:AM71"/>
    <mergeCell ref="AN71:AP71"/>
    <mergeCell ref="AQ71:AS71"/>
    <mergeCell ref="AT71:AV71"/>
    <mergeCell ref="AZ71:BB71"/>
    <mergeCell ref="BC71:BF71"/>
    <mergeCell ref="BG71:BH71"/>
    <mergeCell ref="BI71:BL71"/>
    <mergeCell ref="BM71:BP71"/>
    <mergeCell ref="BQ71:BT71"/>
    <mergeCell ref="AZ69:BB69"/>
    <mergeCell ref="BC69:BF69"/>
    <mergeCell ref="BG69:BH69"/>
    <mergeCell ref="BI69:BL69"/>
    <mergeCell ref="BM69:BP69"/>
    <mergeCell ref="BQ69:BT69"/>
    <mergeCell ref="C70:E70"/>
    <mergeCell ref="F70:J70"/>
    <mergeCell ref="K70:O70"/>
    <mergeCell ref="P70:T70"/>
    <mergeCell ref="U70:Y70"/>
    <mergeCell ref="Z70:AD70"/>
    <mergeCell ref="AE70:AJ70"/>
    <mergeCell ref="AK70:AM70"/>
    <mergeCell ref="AN70:AP70"/>
    <mergeCell ref="AQ70:AS70"/>
    <mergeCell ref="AT70:AV70"/>
    <mergeCell ref="AZ70:BB70"/>
    <mergeCell ref="BC70:BF70"/>
    <mergeCell ref="BG70:BH70"/>
    <mergeCell ref="BI70:BL70"/>
    <mergeCell ref="BM70:BP70"/>
    <mergeCell ref="C69:E69"/>
    <mergeCell ref="F69:J69"/>
    <mergeCell ref="K69:O69"/>
    <mergeCell ref="P69:T69"/>
    <mergeCell ref="U69:Y69"/>
    <mergeCell ref="Z69:AD69"/>
    <mergeCell ref="AE69:AJ69"/>
    <mergeCell ref="AK69:AM69"/>
    <mergeCell ref="BQ70:BT70"/>
    <mergeCell ref="C68:E68"/>
    <mergeCell ref="F68:J68"/>
    <mergeCell ref="K68:O68"/>
    <mergeCell ref="P68:T68"/>
    <mergeCell ref="U68:Y68"/>
    <mergeCell ref="Z68:AD68"/>
    <mergeCell ref="AE68:AJ68"/>
    <mergeCell ref="AK68:AM68"/>
    <mergeCell ref="AN68:AP68"/>
    <mergeCell ref="AQ68:AS68"/>
    <mergeCell ref="AT68:AV68"/>
    <mergeCell ref="AZ68:BB68"/>
    <mergeCell ref="BC68:BF68"/>
    <mergeCell ref="BG68:BH68"/>
    <mergeCell ref="BI68:BL68"/>
    <mergeCell ref="BM68:BP68"/>
    <mergeCell ref="BQ68:BT68"/>
    <mergeCell ref="AZ66:BB66"/>
    <mergeCell ref="BC66:BF66"/>
    <mergeCell ref="BG66:BH66"/>
    <mergeCell ref="BI66:BL66"/>
    <mergeCell ref="BM66:BP66"/>
    <mergeCell ref="BQ66:BT66"/>
    <mergeCell ref="C67:E67"/>
    <mergeCell ref="F67:J67"/>
    <mergeCell ref="K67:O67"/>
    <mergeCell ref="P67:T67"/>
    <mergeCell ref="U67:Y67"/>
    <mergeCell ref="Z67:AD67"/>
    <mergeCell ref="AE67:AJ67"/>
    <mergeCell ref="AK67:AM67"/>
    <mergeCell ref="AN67:AP67"/>
    <mergeCell ref="AQ67:AS67"/>
    <mergeCell ref="AT67:AV67"/>
    <mergeCell ref="AZ67:BB67"/>
    <mergeCell ref="BC67:BF67"/>
    <mergeCell ref="BG67:BH67"/>
    <mergeCell ref="BI67:BL67"/>
    <mergeCell ref="BM67:BP67"/>
    <mergeCell ref="C66:E66"/>
    <mergeCell ref="F66:J66"/>
    <mergeCell ref="K66:O66"/>
    <mergeCell ref="P66:T66"/>
    <mergeCell ref="U66:Y66"/>
    <mergeCell ref="Z66:AD66"/>
    <mergeCell ref="AE66:AJ66"/>
    <mergeCell ref="AK66:AM66"/>
    <mergeCell ref="BQ67:BT67"/>
    <mergeCell ref="C65:E65"/>
    <mergeCell ref="F65:J65"/>
    <mergeCell ref="K65:O65"/>
    <mergeCell ref="P65:T65"/>
    <mergeCell ref="U65:Y65"/>
    <mergeCell ref="Z65:AD65"/>
    <mergeCell ref="AE65:AJ65"/>
    <mergeCell ref="AK65:AM65"/>
    <mergeCell ref="AN65:AP65"/>
    <mergeCell ref="AQ65:AS65"/>
    <mergeCell ref="AT65:AV65"/>
    <mergeCell ref="AZ65:BB65"/>
    <mergeCell ref="BC65:BF65"/>
    <mergeCell ref="BG65:BH65"/>
    <mergeCell ref="BI65:BL65"/>
    <mergeCell ref="BM65:BP65"/>
    <mergeCell ref="BQ65:BT65"/>
    <mergeCell ref="AZ63:BB63"/>
    <mergeCell ref="BC63:BF63"/>
    <mergeCell ref="BG63:BH63"/>
    <mergeCell ref="BI63:BL63"/>
    <mergeCell ref="BM63:BP63"/>
    <mergeCell ref="BQ63:BT63"/>
    <mergeCell ref="C64:E64"/>
    <mergeCell ref="F64:J64"/>
    <mergeCell ref="K64:O64"/>
    <mergeCell ref="P64:T64"/>
    <mergeCell ref="U64:Y64"/>
    <mergeCell ref="Z64:AD64"/>
    <mergeCell ref="AE64:AJ64"/>
    <mergeCell ref="AK64:AM64"/>
    <mergeCell ref="AN64:AP64"/>
    <mergeCell ref="AQ64:AS64"/>
    <mergeCell ref="AT64:AV64"/>
    <mergeCell ref="AZ64:BB64"/>
    <mergeCell ref="BC64:BF64"/>
    <mergeCell ref="BG64:BH64"/>
    <mergeCell ref="BI64:BL64"/>
    <mergeCell ref="BM64:BP64"/>
    <mergeCell ref="C63:E63"/>
    <mergeCell ref="F63:J63"/>
    <mergeCell ref="K63:O63"/>
    <mergeCell ref="P63:T63"/>
    <mergeCell ref="U63:Y63"/>
    <mergeCell ref="Z63:AD63"/>
    <mergeCell ref="AE63:AJ63"/>
    <mergeCell ref="AK63:AM63"/>
    <mergeCell ref="AN63:AP63"/>
    <mergeCell ref="BQ64:BT64"/>
    <mergeCell ref="B57:B58"/>
    <mergeCell ref="BQ57:BT58"/>
    <mergeCell ref="C58:E58"/>
    <mergeCell ref="F58:J58"/>
    <mergeCell ref="K58:O58"/>
    <mergeCell ref="P58:T58"/>
    <mergeCell ref="U58:Y58"/>
    <mergeCell ref="Z58:AD58"/>
    <mergeCell ref="AE58:AJ58"/>
    <mergeCell ref="AK58:AM58"/>
    <mergeCell ref="AN58:AP58"/>
    <mergeCell ref="AZ58:BB58"/>
    <mergeCell ref="BC58:BF58"/>
    <mergeCell ref="BG58:BH58"/>
    <mergeCell ref="BI58:BL58"/>
    <mergeCell ref="BM58:BP58"/>
    <mergeCell ref="AQ62:AS62"/>
    <mergeCell ref="AT62:AV62"/>
    <mergeCell ref="AZ62:BB62"/>
    <mergeCell ref="BC62:BF62"/>
    <mergeCell ref="BG62:BH62"/>
    <mergeCell ref="BI62:BL62"/>
    <mergeCell ref="BM62:BP62"/>
    <mergeCell ref="BQ62:BT62"/>
    <mergeCell ref="K61:O61"/>
    <mergeCell ref="P61:T61"/>
    <mergeCell ref="U61:Y61"/>
    <mergeCell ref="Z61:AD61"/>
    <mergeCell ref="AE61:AJ61"/>
    <mergeCell ref="AK61:AM61"/>
    <mergeCell ref="AN61:AP61"/>
    <mergeCell ref="AQ61:AS61"/>
    <mergeCell ref="AZ61:BB61"/>
    <mergeCell ref="BC61:BF61"/>
    <mergeCell ref="BG61:BH61"/>
    <mergeCell ref="BI61:BL61"/>
    <mergeCell ref="BM61:BP61"/>
    <mergeCell ref="BQ61:BT61"/>
    <mergeCell ref="K62:O62"/>
    <mergeCell ref="P62:T62"/>
    <mergeCell ref="U62:Y62"/>
    <mergeCell ref="Z62:AD62"/>
    <mergeCell ref="AE62:AJ62"/>
    <mergeCell ref="AK62:AM62"/>
    <mergeCell ref="AN62:AP62"/>
    <mergeCell ref="BQ59:BT59"/>
    <mergeCell ref="C60:E60"/>
    <mergeCell ref="F60:J60"/>
    <mergeCell ref="K60:O60"/>
    <mergeCell ref="P60:T60"/>
    <mergeCell ref="U60:Y60"/>
    <mergeCell ref="Z60:AD60"/>
    <mergeCell ref="AE60:AJ60"/>
    <mergeCell ref="AK60:AM60"/>
    <mergeCell ref="AN60:AP60"/>
    <mergeCell ref="AQ60:AS60"/>
    <mergeCell ref="AT60:AV60"/>
    <mergeCell ref="AZ60:BB60"/>
    <mergeCell ref="BC60:BF60"/>
    <mergeCell ref="BG60:BH60"/>
    <mergeCell ref="BI60:BL60"/>
    <mergeCell ref="BM60:BP60"/>
    <mergeCell ref="BQ60:BT60"/>
    <mergeCell ref="AK59:AM59"/>
    <mergeCell ref="AN59:AP59"/>
    <mergeCell ref="AQ59:AS59"/>
    <mergeCell ref="AT59:AV59"/>
    <mergeCell ref="AZ59:BB59"/>
    <mergeCell ref="BC59:BF59"/>
    <mergeCell ref="BG59:BH59"/>
    <mergeCell ref="BI59:BL59"/>
    <mergeCell ref="BM59:BP59"/>
    <mergeCell ref="BQ56:BT56"/>
    <mergeCell ref="C57:E57"/>
    <mergeCell ref="F57:J57"/>
    <mergeCell ref="K57:O57"/>
    <mergeCell ref="P57:T57"/>
    <mergeCell ref="U57:Y57"/>
    <mergeCell ref="Z57:AD57"/>
    <mergeCell ref="AE57:AJ57"/>
    <mergeCell ref="AK57:AM57"/>
    <mergeCell ref="AN57:AP57"/>
    <mergeCell ref="AQ57:AS57"/>
    <mergeCell ref="AT57:AV57"/>
    <mergeCell ref="AK56:AM56"/>
    <mergeCell ref="AN56:AP56"/>
    <mergeCell ref="AQ56:AS56"/>
    <mergeCell ref="AT56:AV56"/>
    <mergeCell ref="AZ56:BB56"/>
    <mergeCell ref="BC56:BF56"/>
    <mergeCell ref="BG56:BH56"/>
    <mergeCell ref="BI56:BL56"/>
    <mergeCell ref="BM56:BP56"/>
    <mergeCell ref="AZ57:BB57"/>
    <mergeCell ref="BC57:BF57"/>
    <mergeCell ref="BG57:BH57"/>
    <mergeCell ref="BI57:BL57"/>
    <mergeCell ref="BM57:BP57"/>
    <mergeCell ref="AE55:AJ55"/>
    <mergeCell ref="AK55:AM55"/>
    <mergeCell ref="AN55:AP55"/>
    <mergeCell ref="AQ55:AS55"/>
    <mergeCell ref="AT55:AV55"/>
    <mergeCell ref="AZ55:BB55"/>
    <mergeCell ref="BC55:BF55"/>
    <mergeCell ref="BG55:BH55"/>
    <mergeCell ref="BI55:BL55"/>
    <mergeCell ref="BM55:BP55"/>
    <mergeCell ref="BQ55:BT55"/>
    <mergeCell ref="AT54:AV54"/>
    <mergeCell ref="BC54:BF54"/>
    <mergeCell ref="BG54:BH54"/>
    <mergeCell ref="BI54:BL54"/>
    <mergeCell ref="BM54:BP54"/>
    <mergeCell ref="BQ54:BT54"/>
    <mergeCell ref="C62:E62"/>
    <mergeCell ref="F62:J62"/>
    <mergeCell ref="AN66:AP66"/>
    <mergeCell ref="AN69:AP69"/>
    <mergeCell ref="F76:J76"/>
    <mergeCell ref="K76:O76"/>
    <mergeCell ref="P76:T76"/>
    <mergeCell ref="U76:Y76"/>
    <mergeCell ref="Z76:AD76"/>
    <mergeCell ref="AQ50:AS50"/>
    <mergeCell ref="AT50:AV50"/>
    <mergeCell ref="AZ50:BB50"/>
    <mergeCell ref="BC50:BF50"/>
    <mergeCell ref="BG50:BH50"/>
    <mergeCell ref="C51:E51"/>
    <mergeCell ref="F51:J51"/>
    <mergeCell ref="K51:O51"/>
    <mergeCell ref="P51:T51"/>
    <mergeCell ref="U51:Y51"/>
    <mergeCell ref="Z51:AD51"/>
    <mergeCell ref="AE51:AJ51"/>
    <mergeCell ref="AK51:AM51"/>
    <mergeCell ref="AN51:AP51"/>
    <mergeCell ref="AQ51:AS51"/>
    <mergeCell ref="AT51:AV51"/>
    <mergeCell ref="AZ51:BB51"/>
    <mergeCell ref="BC51:BF51"/>
    <mergeCell ref="BG51:BH51"/>
    <mergeCell ref="C50:E50"/>
    <mergeCell ref="Z54:AD54"/>
    <mergeCell ref="AT53:AV53"/>
    <mergeCell ref="U52:Y52"/>
    <mergeCell ref="G21:J21"/>
    <mergeCell ref="N21:R21"/>
    <mergeCell ref="N31:R31"/>
    <mergeCell ref="C22:F22"/>
    <mergeCell ref="G22:J22"/>
    <mergeCell ref="N22:R22"/>
    <mergeCell ref="B27:B29"/>
    <mergeCell ref="D83:F83"/>
    <mergeCell ref="G83:AF83"/>
    <mergeCell ref="C56:E56"/>
    <mergeCell ref="F56:J56"/>
    <mergeCell ref="K56:O56"/>
    <mergeCell ref="P56:T56"/>
    <mergeCell ref="U56:Y56"/>
    <mergeCell ref="Z56:AD56"/>
    <mergeCell ref="AE56:AJ56"/>
    <mergeCell ref="C59:E59"/>
    <mergeCell ref="F59:J59"/>
    <mergeCell ref="K59:O59"/>
    <mergeCell ref="P59:T59"/>
    <mergeCell ref="U59:Y59"/>
    <mergeCell ref="Z59:AD59"/>
    <mergeCell ref="AE59:AJ59"/>
    <mergeCell ref="C61:E61"/>
    <mergeCell ref="F61:J61"/>
    <mergeCell ref="AE76:AJ76"/>
    <mergeCell ref="C55:E55"/>
    <mergeCell ref="F55:J55"/>
    <mergeCell ref="K55:O55"/>
    <mergeCell ref="P55:T55"/>
    <mergeCell ref="U55:Y55"/>
    <mergeCell ref="Z55:AD55"/>
    <mergeCell ref="J13:N13"/>
    <mergeCell ref="G13:I13"/>
    <mergeCell ref="T17:W17"/>
    <mergeCell ref="X17:Z17"/>
    <mergeCell ref="AA17:AE17"/>
    <mergeCell ref="U6:Y6"/>
    <mergeCell ref="N7:Q7"/>
    <mergeCell ref="B37:B38"/>
    <mergeCell ref="C40:G40"/>
    <mergeCell ref="C42:G42"/>
    <mergeCell ref="B10:B12"/>
    <mergeCell ref="C11:F11"/>
    <mergeCell ref="J11:N11"/>
    <mergeCell ref="C12:F12"/>
    <mergeCell ref="J12:N12"/>
    <mergeCell ref="G11:I11"/>
    <mergeCell ref="G12:I12"/>
    <mergeCell ref="C23:F23"/>
    <mergeCell ref="G23:J23"/>
    <mergeCell ref="N23:R23"/>
    <mergeCell ref="G30:J30"/>
    <mergeCell ref="G31:J31"/>
    <mergeCell ref="G32:J32"/>
    <mergeCell ref="G33:J33"/>
    <mergeCell ref="K20:M20"/>
    <mergeCell ref="K21:M21"/>
    <mergeCell ref="K22:M22"/>
    <mergeCell ref="K23:M23"/>
    <mergeCell ref="K24:M24"/>
    <mergeCell ref="C41:G41"/>
    <mergeCell ref="H41:N41"/>
    <mergeCell ref="C21:F21"/>
    <mergeCell ref="X12:Z12"/>
    <mergeCell ref="X13:Z13"/>
    <mergeCell ref="X14:Z14"/>
    <mergeCell ref="X15:Z15"/>
    <mergeCell ref="N8:Q8"/>
    <mergeCell ref="U8:Y8"/>
    <mergeCell ref="Z8:AD8"/>
    <mergeCell ref="B4:B6"/>
    <mergeCell ref="C5:F5"/>
    <mergeCell ref="C6:F6"/>
    <mergeCell ref="C7:F7"/>
    <mergeCell ref="G5:K5"/>
    <mergeCell ref="G6:K6"/>
    <mergeCell ref="G7:K7"/>
    <mergeCell ref="C4:K4"/>
    <mergeCell ref="B19:B21"/>
    <mergeCell ref="C20:F20"/>
    <mergeCell ref="G20:J20"/>
    <mergeCell ref="N20:R20"/>
    <mergeCell ref="T15:W15"/>
    <mergeCell ref="AA15:AE15"/>
    <mergeCell ref="T13:W13"/>
    <mergeCell ref="AA13:AE13"/>
    <mergeCell ref="T14:W14"/>
    <mergeCell ref="AA14:AE14"/>
    <mergeCell ref="C14:F14"/>
    <mergeCell ref="J14:N14"/>
    <mergeCell ref="C15:F15"/>
    <mergeCell ref="J15:N15"/>
    <mergeCell ref="G14:I14"/>
    <mergeCell ref="G15:I15"/>
    <mergeCell ref="C13:F13"/>
    <mergeCell ref="O11:Q11"/>
    <mergeCell ref="O12:Q12"/>
    <mergeCell ref="O13:Q13"/>
    <mergeCell ref="O14:Q14"/>
    <mergeCell ref="O15:Q15"/>
    <mergeCell ref="X16:Z16"/>
    <mergeCell ref="AA16:AE16"/>
    <mergeCell ref="X22:AA22"/>
    <mergeCell ref="M4:M6"/>
    <mergeCell ref="N5:Q5"/>
    <mergeCell ref="U5:Y5"/>
    <mergeCell ref="N6:Q6"/>
    <mergeCell ref="S20:W20"/>
    <mergeCell ref="S21:W21"/>
    <mergeCell ref="S22:W22"/>
    <mergeCell ref="S23:W23"/>
    <mergeCell ref="T16:W16"/>
    <mergeCell ref="S10:S12"/>
    <mergeCell ref="T11:W11"/>
    <mergeCell ref="T12:W12"/>
    <mergeCell ref="N4:AD4"/>
    <mergeCell ref="R5:T5"/>
    <mergeCell ref="R6:T6"/>
    <mergeCell ref="R7:T7"/>
    <mergeCell ref="R8:T8"/>
    <mergeCell ref="U7:Y7"/>
    <mergeCell ref="Z5:AD5"/>
    <mergeCell ref="Z6:AD6"/>
    <mergeCell ref="Z7:AD7"/>
    <mergeCell ref="T10:AK10"/>
    <mergeCell ref="X11:Z11"/>
    <mergeCell ref="AI17:AK17"/>
    <mergeCell ref="AA11:AE11"/>
    <mergeCell ref="AA12:AE12"/>
    <mergeCell ref="AI11:AK11"/>
    <mergeCell ref="AI12:AK12"/>
    <mergeCell ref="AI13:AK13"/>
    <mergeCell ref="AI14:AK14"/>
    <mergeCell ref="AI15:AK15"/>
    <mergeCell ref="AI16:AK16"/>
    <mergeCell ref="AF13:AH13"/>
    <mergeCell ref="AF14:AH14"/>
    <mergeCell ref="AF15:AH15"/>
    <mergeCell ref="AF16:AH16"/>
    <mergeCell ref="AF11:AH11"/>
    <mergeCell ref="AF12:AH12"/>
    <mergeCell ref="AX20:BB20"/>
    <mergeCell ref="AX21:BB21"/>
    <mergeCell ref="AX22:BB22"/>
    <mergeCell ref="AN20:AP20"/>
    <mergeCell ref="AN21:AP21"/>
    <mergeCell ref="AN22:AP22"/>
    <mergeCell ref="C25:F25"/>
    <mergeCell ref="G25:J25"/>
    <mergeCell ref="K25:M25"/>
    <mergeCell ref="N25:R25"/>
    <mergeCell ref="S25:W25"/>
    <mergeCell ref="G28:J28"/>
    <mergeCell ref="G29:J29"/>
    <mergeCell ref="AU24:AW24"/>
    <mergeCell ref="AF17:AH17"/>
    <mergeCell ref="AE20:AG20"/>
    <mergeCell ref="AE21:AG21"/>
    <mergeCell ref="AE22:AG22"/>
    <mergeCell ref="AE23:AG23"/>
    <mergeCell ref="AE24:AG24"/>
    <mergeCell ref="AB20:AD20"/>
    <mergeCell ref="AB21:AD21"/>
    <mergeCell ref="AB22:AD22"/>
    <mergeCell ref="AB23:AD23"/>
    <mergeCell ref="AB24:AD24"/>
    <mergeCell ref="C19:BG19"/>
    <mergeCell ref="AQ20:AT20"/>
    <mergeCell ref="AH20:AJ20"/>
    <mergeCell ref="AH21:AJ21"/>
    <mergeCell ref="AH22:AJ22"/>
    <mergeCell ref="AH23:AJ23"/>
    <mergeCell ref="AH24:AJ24"/>
    <mergeCell ref="AK20:AM20"/>
    <mergeCell ref="AK21:AM21"/>
    <mergeCell ref="BC20:BG20"/>
    <mergeCell ref="BC21:BG21"/>
    <mergeCell ref="BC22:BG22"/>
    <mergeCell ref="BC23:BG23"/>
    <mergeCell ref="AN24:AP24"/>
    <mergeCell ref="AQ21:AT21"/>
    <mergeCell ref="AQ22:AT22"/>
    <mergeCell ref="AQ23:AT23"/>
    <mergeCell ref="AQ24:AT24"/>
    <mergeCell ref="X20:AA20"/>
    <mergeCell ref="X21:AA21"/>
    <mergeCell ref="AU25:AW25"/>
    <mergeCell ref="AX25:BB25"/>
    <mergeCell ref="AK22:AM22"/>
    <mergeCell ref="AK23:AM23"/>
    <mergeCell ref="AK24:AM24"/>
    <mergeCell ref="BC25:BG25"/>
    <mergeCell ref="AH25:AJ25"/>
    <mergeCell ref="AK25:AM25"/>
    <mergeCell ref="AN25:AP25"/>
    <mergeCell ref="AQ25:AT25"/>
    <mergeCell ref="X23:AA23"/>
    <mergeCell ref="AB25:AD25"/>
    <mergeCell ref="AE25:AG25"/>
    <mergeCell ref="X25:AA25"/>
    <mergeCell ref="BC24:BG24"/>
    <mergeCell ref="AU20:AW20"/>
    <mergeCell ref="AU21:AW21"/>
    <mergeCell ref="AU22:AW22"/>
    <mergeCell ref="AU23:AW23"/>
    <mergeCell ref="AX23:BB23"/>
    <mergeCell ref="AX24:BB24"/>
    <mergeCell ref="AN23:AP23"/>
    <mergeCell ref="N32:R32"/>
    <mergeCell ref="N33:R33"/>
    <mergeCell ref="K30:M30"/>
    <mergeCell ref="K31:M31"/>
    <mergeCell ref="K32:M32"/>
    <mergeCell ref="K33:M33"/>
    <mergeCell ref="C30:F30"/>
    <mergeCell ref="C31:F31"/>
    <mergeCell ref="C32:F32"/>
    <mergeCell ref="C33:F33"/>
    <mergeCell ref="C27:U27"/>
    <mergeCell ref="C43:G43"/>
    <mergeCell ref="H37:N38"/>
    <mergeCell ref="H39:N39"/>
    <mergeCell ref="H40:N40"/>
    <mergeCell ref="H42:N42"/>
    <mergeCell ref="H43:N43"/>
    <mergeCell ref="C37:G38"/>
    <mergeCell ref="C39:G39"/>
    <mergeCell ref="S30:U30"/>
    <mergeCell ref="S31:U31"/>
    <mergeCell ref="S32:U32"/>
    <mergeCell ref="S33:U33"/>
    <mergeCell ref="N28:R28"/>
    <mergeCell ref="N29:R29"/>
    <mergeCell ref="N30:R30"/>
    <mergeCell ref="C28:F28"/>
    <mergeCell ref="S29:U29"/>
    <mergeCell ref="C24:F24"/>
    <mergeCell ref="G24:J24"/>
    <mergeCell ref="N24:R24"/>
    <mergeCell ref="X24:AA24"/>
    <mergeCell ref="S24:W24"/>
    <mergeCell ref="AE47:AJ47"/>
    <mergeCell ref="AE48:AJ48"/>
    <mergeCell ref="AE49:AJ49"/>
    <mergeCell ref="AE52:AJ52"/>
    <mergeCell ref="AE53:AJ53"/>
    <mergeCell ref="AE54:AJ54"/>
    <mergeCell ref="C47:E47"/>
    <mergeCell ref="F48:J48"/>
    <mergeCell ref="F49:J49"/>
    <mergeCell ref="F52:J52"/>
    <mergeCell ref="F53:J53"/>
    <mergeCell ref="F54:J54"/>
    <mergeCell ref="F47:J47"/>
    <mergeCell ref="U54:Y54"/>
    <mergeCell ref="K54:O54"/>
    <mergeCell ref="C48:E48"/>
    <mergeCell ref="C49:E49"/>
    <mergeCell ref="C52:E52"/>
    <mergeCell ref="C53:E53"/>
    <mergeCell ref="K47:O47"/>
    <mergeCell ref="K48:O48"/>
    <mergeCell ref="K49:O49"/>
    <mergeCell ref="C29:F29"/>
    <mergeCell ref="K28:M28"/>
    <mergeCell ref="K29:M29"/>
    <mergeCell ref="S28:U28"/>
    <mergeCell ref="C54:E54"/>
    <mergeCell ref="U53:Y53"/>
    <mergeCell ref="K52:O52"/>
    <mergeCell ref="K53:O53"/>
    <mergeCell ref="AQ47:AS47"/>
    <mergeCell ref="AQ48:AS48"/>
    <mergeCell ref="AQ49:AS49"/>
    <mergeCell ref="AQ52:AS52"/>
    <mergeCell ref="BQ53:BT53"/>
    <mergeCell ref="BC52:BF52"/>
    <mergeCell ref="BG52:BH52"/>
    <mergeCell ref="BI52:BL52"/>
    <mergeCell ref="BM52:BP52"/>
    <mergeCell ref="BQ52:BT52"/>
    <mergeCell ref="BC53:BF53"/>
    <mergeCell ref="BG53:BH53"/>
    <mergeCell ref="BI53:BL53"/>
    <mergeCell ref="BM53:BP53"/>
    <mergeCell ref="P47:T47"/>
    <mergeCell ref="Z48:AD48"/>
    <mergeCell ref="Z49:AD49"/>
    <mergeCell ref="Z52:AD52"/>
    <mergeCell ref="Z53:AD53"/>
    <mergeCell ref="AN50:AP50"/>
    <mergeCell ref="BI50:BL50"/>
    <mergeCell ref="BM50:BP50"/>
    <mergeCell ref="BQ50:BT50"/>
    <mergeCell ref="BI51:BL51"/>
    <mergeCell ref="BM51:BP51"/>
    <mergeCell ref="AK50:AM50"/>
    <mergeCell ref="BQ51:BT51"/>
    <mergeCell ref="Z47:AD47"/>
    <mergeCell ref="BQ47:BT48"/>
    <mergeCell ref="BC49:BF49"/>
    <mergeCell ref="BG49:BH49"/>
    <mergeCell ref="BI49:BL49"/>
    <mergeCell ref="BM49:BP49"/>
    <mergeCell ref="BQ49:BT49"/>
    <mergeCell ref="B46:B48"/>
    <mergeCell ref="BM48:BP48"/>
    <mergeCell ref="BI48:BL48"/>
    <mergeCell ref="BG48:BH48"/>
    <mergeCell ref="BC48:BF48"/>
    <mergeCell ref="BC47:BP47"/>
    <mergeCell ref="AT47:AV47"/>
    <mergeCell ref="AT48:AV48"/>
    <mergeCell ref="AT49:AV49"/>
    <mergeCell ref="F50:J50"/>
    <mergeCell ref="K50:O50"/>
    <mergeCell ref="P50:T50"/>
    <mergeCell ref="U50:Y50"/>
    <mergeCell ref="Z50:AD50"/>
    <mergeCell ref="AE50:AJ50"/>
    <mergeCell ref="U47:Y47"/>
    <mergeCell ref="U48:Y48"/>
    <mergeCell ref="U49:Y49"/>
    <mergeCell ref="AT52:AV52"/>
    <mergeCell ref="G102:AF102"/>
    <mergeCell ref="G92:AF92"/>
    <mergeCell ref="G93:AF93"/>
    <mergeCell ref="G94:AF94"/>
    <mergeCell ref="D87:F87"/>
    <mergeCell ref="D88:F88"/>
    <mergeCell ref="D89:F89"/>
    <mergeCell ref="AZ47:BB48"/>
    <mergeCell ref="AZ49:BB49"/>
    <mergeCell ref="AZ52:BB52"/>
    <mergeCell ref="AZ53:BB53"/>
    <mergeCell ref="AZ54:BB54"/>
    <mergeCell ref="D82:F82"/>
    <mergeCell ref="AQ53:AS53"/>
    <mergeCell ref="AQ54:AS54"/>
    <mergeCell ref="AN47:AP47"/>
    <mergeCell ref="AN48:AP48"/>
    <mergeCell ref="AN49:AP49"/>
    <mergeCell ref="AN52:AP52"/>
    <mergeCell ref="AN53:AP53"/>
    <mergeCell ref="AN54:AP54"/>
    <mergeCell ref="AK47:AM47"/>
    <mergeCell ref="AK48:AM48"/>
    <mergeCell ref="AK49:AM49"/>
    <mergeCell ref="AK52:AM52"/>
    <mergeCell ref="AK53:AM53"/>
    <mergeCell ref="AK54:AM54"/>
    <mergeCell ref="P48:T48"/>
    <mergeCell ref="P49:T49"/>
    <mergeCell ref="P52:T52"/>
    <mergeCell ref="P53:T53"/>
    <mergeCell ref="P54:T54"/>
    <mergeCell ref="BO127:BR127"/>
    <mergeCell ref="G95:AF95"/>
    <mergeCell ref="G96:AF96"/>
    <mergeCell ref="G97:AF97"/>
    <mergeCell ref="D102:F102"/>
    <mergeCell ref="G82:AF82"/>
    <mergeCell ref="G84:AF84"/>
    <mergeCell ref="G85:AF85"/>
    <mergeCell ref="G86:AF86"/>
    <mergeCell ref="G87:AF87"/>
    <mergeCell ref="G88:AF88"/>
    <mergeCell ref="G89:AF89"/>
    <mergeCell ref="G90:AF90"/>
    <mergeCell ref="G91:AF91"/>
    <mergeCell ref="D96:F96"/>
    <mergeCell ref="D97:F97"/>
    <mergeCell ref="D98:F98"/>
    <mergeCell ref="D99:F99"/>
    <mergeCell ref="D100:F100"/>
    <mergeCell ref="D101:F101"/>
    <mergeCell ref="D90:F90"/>
    <mergeCell ref="D91:F91"/>
    <mergeCell ref="D92:F92"/>
    <mergeCell ref="D93:F93"/>
    <mergeCell ref="D94:F94"/>
    <mergeCell ref="D95:F95"/>
    <mergeCell ref="D84:F84"/>
    <mergeCell ref="D85:F85"/>
    <mergeCell ref="G98:AF98"/>
    <mergeCell ref="G99:AF99"/>
    <mergeCell ref="G100:AF100"/>
    <mergeCell ref="G101:AF101"/>
    <mergeCell ref="BS128:BV128"/>
    <mergeCell ref="B126:B128"/>
    <mergeCell ref="C126:E126"/>
    <mergeCell ref="F126:J126"/>
    <mergeCell ref="K126:O126"/>
    <mergeCell ref="P126:T126"/>
    <mergeCell ref="U126:Y126"/>
    <mergeCell ref="Z126:AD126"/>
    <mergeCell ref="AE126:AJ126"/>
    <mergeCell ref="AK126:AM126"/>
    <mergeCell ref="AN126:AP126"/>
    <mergeCell ref="AQ126:AS126"/>
    <mergeCell ref="AW126:AY126"/>
    <mergeCell ref="BC126:BF126"/>
    <mergeCell ref="BG126:BJ126"/>
    <mergeCell ref="BK126:BN126"/>
    <mergeCell ref="BO126:BR126"/>
    <mergeCell ref="BS126:BV126"/>
    <mergeCell ref="C127:E127"/>
    <mergeCell ref="F127:J127"/>
    <mergeCell ref="BS127:BV127"/>
    <mergeCell ref="C128:E128"/>
    <mergeCell ref="F128:J128"/>
    <mergeCell ref="K128:O128"/>
    <mergeCell ref="P128:T128"/>
    <mergeCell ref="U128:Y128"/>
    <mergeCell ref="Z128:AD128"/>
    <mergeCell ref="AE128:AJ128"/>
    <mergeCell ref="AK128:AM128"/>
    <mergeCell ref="AN128:AP128"/>
    <mergeCell ref="AQ128:AS128"/>
    <mergeCell ref="C169:F169"/>
    <mergeCell ref="G169:J169"/>
    <mergeCell ref="K169:M169"/>
    <mergeCell ref="N169:R169"/>
    <mergeCell ref="S169:U169"/>
    <mergeCell ref="V169:W169"/>
    <mergeCell ref="C152:F152"/>
    <mergeCell ref="G152:J152"/>
    <mergeCell ref="K152:M152"/>
    <mergeCell ref="V159:W159"/>
    <mergeCell ref="X159:Y159"/>
    <mergeCell ref="Z159:AA159"/>
    <mergeCell ref="C154:AF154"/>
    <mergeCell ref="C158:F158"/>
    <mergeCell ref="G158:J158"/>
    <mergeCell ref="K158:M158"/>
    <mergeCell ref="AB158:AC158"/>
    <mergeCell ref="AD158:AF158"/>
    <mergeCell ref="V163:W163"/>
    <mergeCell ref="X163:Y163"/>
    <mergeCell ref="Z163:AA163"/>
    <mergeCell ref="AB163:AC163"/>
    <mergeCell ref="AB159:AC159"/>
    <mergeCell ref="AD159:AF159"/>
    <mergeCell ref="C160:F160"/>
    <mergeCell ref="G160:J160"/>
    <mergeCell ref="K160:M160"/>
    <mergeCell ref="N160:R160"/>
    <mergeCell ref="S160:U160"/>
    <mergeCell ref="V160:W160"/>
    <mergeCell ref="X156:Y156"/>
    <mergeCell ref="V155:W155"/>
    <mergeCell ref="C151:F151"/>
    <mergeCell ref="G151:J151"/>
    <mergeCell ref="K151:M151"/>
    <mergeCell ref="AK127:AM127"/>
    <mergeCell ref="AN127:AP127"/>
    <mergeCell ref="AQ127:AS127"/>
    <mergeCell ref="AW127:AY127"/>
    <mergeCell ref="BC127:BF127"/>
    <mergeCell ref="BG127:BJ127"/>
    <mergeCell ref="BK127:BN127"/>
    <mergeCell ref="C143:F143"/>
    <mergeCell ref="G143:J143"/>
    <mergeCell ref="K143:M143"/>
    <mergeCell ref="N143:R143"/>
    <mergeCell ref="S143:W143"/>
    <mergeCell ref="X143:AA143"/>
    <mergeCell ref="AB143:AD143"/>
    <mergeCell ref="AE138:AG138"/>
    <mergeCell ref="AH138:AJ138"/>
    <mergeCell ref="AN139:AP139"/>
    <mergeCell ref="AN138:AP138"/>
    <mergeCell ref="C150:F150"/>
    <mergeCell ref="G150:J150"/>
    <mergeCell ref="K150:M150"/>
    <mergeCell ref="N150:R150"/>
    <mergeCell ref="S150:W150"/>
    <mergeCell ref="X150:AA150"/>
    <mergeCell ref="AB150:AD150"/>
    <mergeCell ref="AE150:AG150"/>
    <mergeCell ref="AH150:AJ150"/>
    <mergeCell ref="AK150:AM150"/>
    <mergeCell ref="AN150:AP150"/>
    <mergeCell ref="V170:W170"/>
    <mergeCell ref="X170:Y170"/>
    <mergeCell ref="Z170:AA170"/>
    <mergeCell ref="AB170:AC170"/>
    <mergeCell ref="AD170:AF170"/>
    <mergeCell ref="C171:F171"/>
    <mergeCell ref="G171:J171"/>
    <mergeCell ref="K171:M171"/>
    <mergeCell ref="N171:R171"/>
    <mergeCell ref="S171:U171"/>
    <mergeCell ref="V171:W171"/>
    <mergeCell ref="X171:Y171"/>
    <mergeCell ref="Z171:AA171"/>
    <mergeCell ref="AB171:AC171"/>
    <mergeCell ref="AD171:AF171"/>
    <mergeCell ref="N152:R152"/>
    <mergeCell ref="S152:W152"/>
    <mergeCell ref="X152:AA152"/>
    <mergeCell ref="AB152:AD152"/>
    <mergeCell ref="AE152:AG152"/>
    <mergeCell ref="X169:Y169"/>
    <mergeCell ref="Z169:AA169"/>
    <mergeCell ref="AB169:AC169"/>
    <mergeCell ref="AD169:AF169"/>
    <mergeCell ref="X160:Y160"/>
    <mergeCell ref="Z160:AA160"/>
    <mergeCell ref="AB160:AC160"/>
    <mergeCell ref="AD160:AF160"/>
    <mergeCell ref="C162:F162"/>
    <mergeCell ref="G162:J162"/>
    <mergeCell ref="K162:M162"/>
    <mergeCell ref="N162:R162"/>
    <mergeCell ref="AH152:AJ152"/>
    <mergeCell ref="AK152:AM152"/>
    <mergeCell ref="AN152:AP152"/>
    <mergeCell ref="AQ152:AS152"/>
    <mergeCell ref="AT152:AV152"/>
    <mergeCell ref="AW152:BA152"/>
    <mergeCell ref="BB152:BD152"/>
    <mergeCell ref="BE152:BG152"/>
    <mergeCell ref="AT150:AV150"/>
    <mergeCell ref="AW150:BA150"/>
    <mergeCell ref="BB150:BD150"/>
    <mergeCell ref="BE150:BG150"/>
    <mergeCell ref="N151:R151"/>
    <mergeCell ref="S151:W151"/>
    <mergeCell ref="X151:AA151"/>
    <mergeCell ref="AB151:AD151"/>
    <mergeCell ref="AE151:AG151"/>
    <mergeCell ref="AH151:AJ151"/>
    <mergeCell ref="AK151:AM151"/>
    <mergeCell ref="AN151:AP151"/>
    <mergeCell ref="AQ151:AS151"/>
    <mergeCell ref="AT151:AV151"/>
    <mergeCell ref="AW151:BA151"/>
    <mergeCell ref="BB151:BD151"/>
    <mergeCell ref="BE151:BG151"/>
    <mergeCell ref="AQ150:AS150"/>
    <mergeCell ref="C196:F196"/>
    <mergeCell ref="G196:I196"/>
    <mergeCell ref="J196:N196"/>
    <mergeCell ref="O196:S196"/>
    <mergeCell ref="C197:F197"/>
    <mergeCell ref="G197:I197"/>
    <mergeCell ref="J197:N197"/>
    <mergeCell ref="O197:S197"/>
    <mergeCell ref="C187:F187"/>
    <mergeCell ref="G187:I187"/>
    <mergeCell ref="J187:N187"/>
    <mergeCell ref="O187:Q187"/>
    <mergeCell ref="R187:T187"/>
    <mergeCell ref="C188:F188"/>
    <mergeCell ref="G188:I188"/>
    <mergeCell ref="J188:N188"/>
    <mergeCell ref="O188:Q188"/>
    <mergeCell ref="R188:T188"/>
    <mergeCell ref="C189:F189"/>
    <mergeCell ref="G189:I189"/>
    <mergeCell ref="J189:N189"/>
    <mergeCell ref="O189:Q189"/>
    <mergeCell ref="R189:T189"/>
    <mergeCell ref="C195:F195"/>
    <mergeCell ref="G195:I195"/>
    <mergeCell ref="J195:N195"/>
    <mergeCell ref="O195:S195"/>
    <mergeCell ref="C194:F194"/>
    <mergeCell ref="G194:I194"/>
    <mergeCell ref="J194:N194"/>
    <mergeCell ref="O194:S194"/>
    <mergeCell ref="B129:B131"/>
    <mergeCell ref="C129:E129"/>
    <mergeCell ref="F129:J129"/>
    <mergeCell ref="K129:O129"/>
    <mergeCell ref="P129:T129"/>
    <mergeCell ref="U129:Y129"/>
    <mergeCell ref="Z129:AD129"/>
    <mergeCell ref="AE129:AJ129"/>
    <mergeCell ref="AK129:AM129"/>
    <mergeCell ref="AN129:AP129"/>
    <mergeCell ref="AQ129:AS129"/>
    <mergeCell ref="AW129:AY129"/>
    <mergeCell ref="BC129:BF129"/>
    <mergeCell ref="BG129:BJ129"/>
    <mergeCell ref="C130:E130"/>
    <mergeCell ref="F130:J130"/>
    <mergeCell ref="K130:O130"/>
    <mergeCell ref="P130:T130"/>
    <mergeCell ref="U130:Y130"/>
    <mergeCell ref="Z130:AD130"/>
    <mergeCell ref="AE130:AJ130"/>
    <mergeCell ref="AK130:AM130"/>
    <mergeCell ref="AN130:AP130"/>
    <mergeCell ref="AQ130:AS130"/>
    <mergeCell ref="AW130:AY130"/>
    <mergeCell ref="BC130:BF130"/>
    <mergeCell ref="BG130:BJ130"/>
    <mergeCell ref="C131:E131"/>
    <mergeCell ref="F131:J131"/>
    <mergeCell ref="K131:O131"/>
    <mergeCell ref="P131:T131"/>
    <mergeCell ref="U131:Y131"/>
    <mergeCell ref="Z131:AD131"/>
    <mergeCell ref="AE131:AJ131"/>
    <mergeCell ref="AK131:AM131"/>
    <mergeCell ref="AN131:AP131"/>
    <mergeCell ref="AQ131:AS131"/>
    <mergeCell ref="AW131:AY131"/>
    <mergeCell ref="BC131:BF131"/>
    <mergeCell ref="BG131:BJ131"/>
    <mergeCell ref="BK129:BN129"/>
    <mergeCell ref="BO129:BR129"/>
    <mergeCell ref="BS129:BV129"/>
    <mergeCell ref="BK130:BN130"/>
    <mergeCell ref="BO130:BR130"/>
    <mergeCell ref="BS130:BV130"/>
    <mergeCell ref="BK131:BN131"/>
    <mergeCell ref="BO131:BR131"/>
    <mergeCell ref="BS131:BV131"/>
    <mergeCell ref="AT108:AV131"/>
    <mergeCell ref="AZ108:BB131"/>
    <mergeCell ref="C108:AS108"/>
    <mergeCell ref="C113:E113"/>
    <mergeCell ref="F113:J113"/>
    <mergeCell ref="K113:O113"/>
    <mergeCell ref="P113:T113"/>
    <mergeCell ref="U113:Y113"/>
    <mergeCell ref="BS109:BV111"/>
    <mergeCell ref="BG109:BJ111"/>
    <mergeCell ref="BC109:BF111"/>
    <mergeCell ref="C114:E114"/>
  </mergeCells>
  <phoneticPr fontId="11"/>
  <hyperlinks>
    <hyperlink ref="S22" r:id="rId1"/>
    <hyperlink ref="S23" r:id="rId2"/>
    <hyperlink ref="S24" r:id="rId3"/>
    <hyperlink ref="S25" r:id="rId4"/>
    <hyperlink ref="AE56" r:id="rId5"/>
    <hyperlink ref="AE57" r:id="rId6"/>
    <hyperlink ref="AE58" r:id="rId7"/>
    <hyperlink ref="AE59" r:id="rId8"/>
    <hyperlink ref="AE60" r:id="rId9"/>
    <hyperlink ref="AE61" r:id="rId10"/>
    <hyperlink ref="AE62" r:id="rId11"/>
    <hyperlink ref="AE63" r:id="rId12"/>
    <hyperlink ref="AE64" r:id="rId13"/>
    <hyperlink ref="AE65" r:id="rId14"/>
    <hyperlink ref="AE66" r:id="rId15"/>
    <hyperlink ref="AE69" r:id="rId16"/>
    <hyperlink ref="AE70" r:id="rId17"/>
    <hyperlink ref="AE71" r:id="rId18"/>
    <hyperlink ref="AE72" r:id="rId19"/>
    <hyperlink ref="AE74" r:id="rId20"/>
    <hyperlink ref="AE75" r:id="rId21"/>
    <hyperlink ref="AE76" r:id="rId22"/>
    <hyperlink ref="AE77" r:id="rId23"/>
    <hyperlink ref="AE78" r:id="rId24"/>
    <hyperlink ref="AE79" r:id="rId25"/>
    <hyperlink ref="S138" r:id="rId26" display="t.mic_test2-7@test.co.jp"/>
    <hyperlink ref="S139" r:id="rId27"/>
    <hyperlink ref="S140" r:id="rId28"/>
    <hyperlink ref="S141" r:id="rId29"/>
    <hyperlink ref="S143" r:id="rId30"/>
    <hyperlink ref="S144" r:id="rId31"/>
    <hyperlink ref="S142" r:id="rId32"/>
    <hyperlink ref="S145" r:id="rId33"/>
    <hyperlink ref="S147" r:id="rId34"/>
    <hyperlink ref="S146" r:id="rId35"/>
    <hyperlink ref="AE123" r:id="rId36"/>
    <hyperlink ref="AE122" r:id="rId37"/>
    <hyperlink ref="AE124" r:id="rId38"/>
    <hyperlink ref="AE125" r:id="rId39"/>
    <hyperlink ref="S148" r:id="rId40"/>
    <hyperlink ref="S149" r:id="rId41"/>
    <hyperlink ref="AE127" r:id="rId42"/>
    <hyperlink ref="AE126" r:id="rId43"/>
    <hyperlink ref="AE128" r:id="rId44"/>
    <hyperlink ref="S150" r:id="rId45"/>
    <hyperlink ref="S152" r:id="rId46"/>
    <hyperlink ref="S151" r:id="rId47"/>
    <hyperlink ref="AE130" r:id="rId48"/>
    <hyperlink ref="AE129" r:id="rId49"/>
    <hyperlink ref="AE131" r:id="rId50"/>
  </hyperlinks>
  <pageMargins left="0.7" right="0.7" top="0.75" bottom="0.75" header="0.3" footer="0.3"/>
  <pageSetup paperSize="9" orientation="portrait" horizontalDpi="1200" verticalDpi="1200" r:id="rId51"/>
  <drawing r:id="rId52"/>
  <legacyDrawing r:id="rId5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586EC5222D8DD4EA9380A9586B0DF37" ma:contentTypeVersion="14" ma:contentTypeDescription="新しいドキュメントを作成します。" ma:contentTypeScope="" ma:versionID="b2cc92d8f4beea44e3d609bb5924ec6f">
  <xsd:schema xmlns:xsd="http://www.w3.org/2001/XMLSchema" xmlns:xs="http://www.w3.org/2001/XMLSchema" xmlns:p="http://schemas.microsoft.com/office/2006/metadata/properties" xmlns:ns2="ea6db904-263b-43e2-ab7f-db7ee886b0e2" xmlns:ns3="c3a2110b-ae3e-426d-848d-3155ad29998e" targetNamespace="http://schemas.microsoft.com/office/2006/metadata/properties" ma:root="true" ma:fieldsID="1a3a1fc7835d1b2878e057f6608fc1c3" ns2:_="" ns3:_="">
    <xsd:import namespace="ea6db904-263b-43e2-ab7f-db7ee886b0e2"/>
    <xsd:import namespace="c3a2110b-ae3e-426d-848d-3155ad29998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db904-263b-43e2-ab7f-db7ee886b0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3984b59b-ce53-431a-bd0a-b30cdfa1a7f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a2110b-ae3e-426d-848d-3155ad29998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368ebfd-76cc-4ef6-b811-ebbdbf3aaaad}" ma:internalName="TaxCatchAll" ma:showField="CatchAllData" ma:web="c3a2110b-ae3e-426d-848d-3155ad29998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2110b-ae3e-426d-848d-3155ad29998e" xsi:nil="true"/>
    <lcf76f155ced4ddcb4097134ff3c332f xmlns="ea6db904-263b-43e2-ab7f-db7ee886b0e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CE52E8-F3E7-457C-8162-79D6B146B930}"/>
</file>

<file path=customXml/itemProps2.xml><?xml version="1.0" encoding="utf-8"?>
<ds:datastoreItem xmlns:ds="http://schemas.openxmlformats.org/officeDocument/2006/customXml" ds:itemID="{DFBEAC2A-6C73-4FFE-B26F-436C947C3F60}"/>
</file>

<file path=customXml/itemProps3.xml><?xml version="1.0" encoding="utf-8"?>
<ds:datastoreItem xmlns:ds="http://schemas.openxmlformats.org/officeDocument/2006/customXml" ds:itemID="{07620D1B-CBE3-47C2-9B50-05E595463A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進捗</vt:lpstr>
      <vt:lpstr>ヒアーズミー</vt:lpstr>
      <vt:lpstr>管理ツール（IP制限機能）</vt:lpstr>
      <vt:lpstr>管理ツール（ユーザ一括登録）</vt:lpstr>
      <vt:lpstr>アカウント作成ツール</vt:lpstr>
      <vt:lpstr>データ（IP制限機能）</vt:lpstr>
      <vt:lpstr>データ（一括登録）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youko</dc:creator>
  <cp:lastModifiedBy>神 洋子</cp:lastModifiedBy>
  <dcterms:created xsi:type="dcterms:W3CDTF">2016-08-17T02:59:11Z</dcterms:created>
  <dcterms:modified xsi:type="dcterms:W3CDTF">2023-02-02T09:15:29Z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0x0101001586EC5222D8DD4EA9380A9586B0DF37</vt:lpwstr>
  </property>
</Properties>
</file>